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2026 Tracker" sheetId="2" state="visible" r:id="rId2"/>
    <sheet xmlns:r="http://schemas.openxmlformats.org/officeDocument/2006/relationships" name="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.00"/>
    <numFmt numFmtId="165" formatCode="\$#,##0.00;&quot;($&quot;#,##0.00\);\$0.00"/>
    <numFmt numFmtId="166" formatCode="\$#,##0"/>
    <numFmt numFmtId="167" formatCode="\$#,##0.00;&quot;($&quot;#,##0.00\);\-"/>
    <numFmt numFmtId="168" formatCode="0.0%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EA05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B45309"/>
      <sz val="10"/>
    </font>
    <font>
      <name val="Arial"/>
      <charset val="1"/>
      <family val="0"/>
      <i val="1"/>
      <color rgb="FF000000"/>
      <sz val="10"/>
    </font>
    <font>
      <name val="Arial"/>
      <charset val="1"/>
      <family val="0"/>
      <b val="1"/>
      <color rgb="FFD23232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D1B2A"/>
      <sz val="11"/>
    </font>
    <font>
      <name val="Arial"/>
      <charset val="1"/>
      <family val="0"/>
      <color rgb="FF000000"/>
      <sz val="9"/>
    </font>
    <font>
      <name val="Arial"/>
      <charset val="1"/>
      <family val="0"/>
      <i val="1"/>
      <sz val="9"/>
    </font>
    <font>
      <name val="Arial"/>
      <charset val="1"/>
      <family val="0"/>
      <sz val="10"/>
    </font>
  </fonts>
  <fills count="17">
    <fill>
      <patternFill/>
    </fill>
    <fill>
      <patternFill patternType="gray125"/>
    </fill>
    <fill>
      <patternFill patternType="solid">
        <fgColor rgb="FF0D1B2A"/>
        <bgColor rgb="FF1B2A3B"/>
      </patternFill>
    </fill>
    <fill>
      <patternFill patternType="solid">
        <fgColor rgb="FF1B2A3B"/>
        <bgColor rgb="FF0D1B2A"/>
      </patternFill>
    </fill>
    <fill>
      <patternFill patternType="solid">
        <fgColor rgb="FFD5F5E3"/>
        <bgColor rgb="FFE6F4EA"/>
      </patternFill>
    </fill>
    <fill>
      <patternFill patternType="solid">
        <fgColor rgb="FFE6F4EA"/>
        <bgColor rgb="FFE8EDF2"/>
      </patternFill>
    </fill>
    <fill>
      <patternFill patternType="solid">
        <fgColor rgb="FFF2F4F7"/>
        <bgColor rgb="FFF2F4F6"/>
      </patternFill>
    </fill>
    <fill>
      <patternFill patternType="solid">
        <fgColor rgb="FFD6E4F0"/>
        <bgColor rgb="FFE8EDF2"/>
      </patternFill>
    </fill>
    <fill>
      <patternFill patternType="solid">
        <fgColor rgb="FFE8DAEF"/>
        <bgColor rgb="FFD6E4F0"/>
      </patternFill>
    </fill>
    <fill>
      <patternFill patternType="solid">
        <fgColor rgb="FFFEF3C7"/>
        <bgColor rgb="FFFFF9C4"/>
      </patternFill>
    </fill>
    <fill>
      <patternFill patternType="solid">
        <fgColor rgb="FFFAD7A0"/>
        <bgColor rgb="FFFEE2E2"/>
      </patternFill>
    </fill>
    <fill>
      <patternFill patternType="solid">
        <fgColor rgb="FFFEE2E2"/>
        <bgColor rgb="FFFDECEA"/>
      </patternFill>
    </fill>
    <fill>
      <patternFill patternType="solid">
        <fgColor rgb="FFFFF9C4"/>
        <bgColor rgb="FFFEF3C7"/>
      </patternFill>
    </fill>
    <fill>
      <patternFill patternType="solid">
        <fgColor rgb="FFFDECEA"/>
        <bgColor rgb="FFFEE2E2"/>
      </patternFill>
    </fill>
    <fill>
      <patternFill patternType="solid">
        <fgColor rgb="FFF2F4F6"/>
        <bgColor rgb="FFF2F4F7"/>
      </patternFill>
    </fill>
    <fill>
      <patternFill patternType="solid">
        <fgColor rgb="FFE8EDF2"/>
        <bgColor rgb="FFE6F4EA"/>
      </patternFill>
    </fill>
    <fill>
      <patternFill patternType="solid">
        <fgColor rgb="FF2E4057"/>
        <bgColor rgb="FF1B2A3B"/>
      </patternFill>
    </fill>
  </fills>
  <borders count="7">
    <border>
      <left/>
      <right/>
      <top/>
      <bottom/>
      <diagonal/>
    </border>
    <border>
      <left style="thin">
        <color rgb="FFC5CDD6"/>
      </left>
      <right/>
      <top style="thin">
        <color rgb="FFC5CDD6"/>
      </top>
      <bottom style="thin">
        <color rgb="FFC5CDD6"/>
      </bottom>
      <diagonal/>
    </border>
    <border>
      <left style="thin">
        <color rgb="FFC5CDD6"/>
      </left>
      <right style="thin">
        <color rgb="FFC5CDD6"/>
      </right>
      <top style="thin">
        <color rgb="FFC5CDD6"/>
      </top>
      <bottom style="thin">
        <color rgb="FFC5CDD6"/>
      </bottom>
      <diagonal/>
    </border>
    <border>
      <left/>
      <right/>
      <top style="thin">
        <color rgb="FFC5CDD6"/>
      </top>
      <bottom/>
      <diagonal/>
    </border>
    <border>
      <left/>
      <right/>
      <top style="thin">
        <color rgb="FFC5CDD6"/>
      </top>
      <bottom style="thin">
        <color rgb="FFC5CDD6"/>
      </bottom>
      <diagonal/>
    </border>
    <border>
      <left/>
      <right style="thin">
        <color rgb="FFC5CDD6"/>
      </right>
      <top style="thin">
        <color rgb="FFC5CDD6"/>
      </top>
      <bottom/>
      <diagonal/>
    </border>
    <border>
      <left/>
      <right style="thin">
        <color rgb="FFC5CDD6"/>
      </right>
      <top style="thin">
        <color rgb="FFC5CDD6"/>
      </top>
      <bottom style="thin">
        <color rgb="FFC5CDD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indent="1"/>
    </xf>
    <xf numFmtId="164" fontId="6" fillId="3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4" fontId="10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164" fontId="9" fillId="7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164" fontId="9" fillId="10" borderId="2" applyAlignment="1" pivotButton="0" quotePrefix="0" xfId="0">
      <alignment horizontal="center" vertical="center"/>
    </xf>
    <xf numFmtId="164" fontId="14" fillId="11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9" fontId="11" fillId="4" borderId="2" applyAlignment="1" pivotButton="0" quotePrefix="0" xfId="0">
      <alignment horizontal="center" vertical="center"/>
    </xf>
    <xf numFmtId="164" fontId="11" fillId="4" borderId="2" applyAlignment="1" pivotButton="0" quotePrefix="0" xfId="0">
      <alignment horizontal="center" vertical="center"/>
    </xf>
    <xf numFmtId="165" fontId="10" fillId="5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9" fontId="11" fillId="8" borderId="2" applyAlignment="1" pivotButton="0" quotePrefix="0" xfId="0">
      <alignment horizontal="center" vertical="center"/>
    </xf>
    <xf numFmtId="164" fontId="11" fillId="8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9" fontId="11" fillId="10" borderId="2" applyAlignment="1" pivotButton="0" quotePrefix="0" xfId="0">
      <alignment horizontal="center" vertical="center"/>
    </xf>
    <xf numFmtId="164" fontId="11" fillId="10" borderId="2" applyAlignment="1" pivotButton="0" quotePrefix="0" xfId="0">
      <alignment horizontal="center" vertical="center"/>
    </xf>
    <xf numFmtId="165" fontId="8" fillId="6" borderId="2" applyAlignment="1" pivotButton="0" quotePrefix="0" xfId="0">
      <alignment horizontal="center" vertical="center"/>
    </xf>
    <xf numFmtId="9" fontId="11" fillId="7" borderId="2" applyAlignment="1" pivotButton="0" quotePrefix="0" xfId="0">
      <alignment horizontal="center" vertical="center"/>
    </xf>
    <xf numFmtId="164" fontId="11" fillId="7" borderId="2" applyAlignment="1" pivotButton="0" quotePrefix="0" xfId="0">
      <alignment horizontal="center" vertical="center"/>
    </xf>
    <xf numFmtId="165" fontId="14" fillId="11" borderId="2" applyAlignment="1" pivotButton="0" quotePrefix="0" xfId="0">
      <alignment horizontal="center" vertical="center"/>
    </xf>
    <xf numFmtId="9" fontId="7" fillId="2" borderId="2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 wrapText="1"/>
    </xf>
    <xf numFmtId="166" fontId="9" fillId="7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2" fontId="11" fillId="12" borderId="2" applyAlignment="1" pivotButton="0" quotePrefix="0" xfId="0">
      <alignment horizontal="center" vertical="center"/>
    </xf>
    <xf numFmtId="164" fontId="11" fillId="12" borderId="2" applyAlignment="1" pivotButton="0" quotePrefix="0" xfId="0">
      <alignment horizontal="center" vertical="center"/>
    </xf>
    <xf numFmtId="167" fontId="11" fillId="13" borderId="2" applyAlignment="1" pivotButton="0" quotePrefix="0" xfId="0">
      <alignment horizontal="center" vertical="center"/>
    </xf>
    <xf numFmtId="164" fontId="16" fillId="7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166" fontId="9" fillId="4" borderId="2" applyAlignment="1" pivotButton="0" quotePrefix="0" xfId="0">
      <alignment horizontal="center" vertical="center"/>
    </xf>
    <xf numFmtId="164" fontId="16" fillId="4" borderId="2" applyAlignment="1" pivotButton="0" quotePrefix="0" xfId="0">
      <alignment horizontal="center" vertical="center"/>
    </xf>
    <xf numFmtId="166" fontId="9" fillId="10" borderId="2" applyAlignment="1" pivotButton="0" quotePrefix="0" xfId="0">
      <alignment horizontal="center" vertical="center"/>
    </xf>
    <xf numFmtId="164" fontId="16" fillId="10" borderId="2" applyAlignment="1" pivotButton="0" quotePrefix="0" xfId="0">
      <alignment horizontal="center" vertical="center"/>
    </xf>
    <xf numFmtId="166" fontId="9" fillId="8" borderId="2" applyAlignment="1" pivotButton="0" quotePrefix="0" xfId="0">
      <alignment horizontal="center" vertical="center"/>
    </xf>
    <xf numFmtId="164" fontId="16" fillId="8" borderId="2" applyAlignment="1" pivotButton="0" quotePrefix="0" xfId="0">
      <alignment horizontal="center" vertical="center"/>
    </xf>
    <xf numFmtId="167" fontId="11" fillId="5" borderId="2" applyAlignment="1" pivotButton="0" quotePrefix="0" xfId="0">
      <alignment horizontal="center" vertical="center"/>
    </xf>
    <xf numFmtId="167" fontId="11" fillId="15" borderId="2" applyAlignment="1" pivotButton="0" quotePrefix="0" xfId="0">
      <alignment horizontal="center" vertical="center"/>
    </xf>
    <xf numFmtId="167" fontId="11" fillId="12" borderId="2" applyAlignment="1" pivotButton="0" quotePrefix="0" xfId="0">
      <alignment horizontal="center" vertical="center"/>
    </xf>
    <xf numFmtId="166" fontId="11" fillId="7" borderId="2" applyAlignment="1" pivotButton="0" quotePrefix="0" xfId="0">
      <alignment horizontal="center" vertical="center"/>
    </xf>
    <xf numFmtId="164" fontId="11" fillId="7" borderId="2" applyAlignment="1" pivotButton="0" quotePrefix="0" xfId="0">
      <alignment horizontal="center" vertical="center"/>
    </xf>
    <xf numFmtId="167" fontId="8" fillId="7" borderId="2" applyAlignment="1" pivotButton="0" quotePrefix="0" xfId="0">
      <alignment horizontal="center" vertical="center"/>
    </xf>
    <xf numFmtId="168" fontId="11" fillId="7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4" fontId="11" fillId="4" borderId="2" applyAlignment="1" pivotButton="0" quotePrefix="0" xfId="0">
      <alignment horizontal="center" vertical="center"/>
    </xf>
    <xf numFmtId="167" fontId="8" fillId="4" borderId="2" applyAlignment="1" pivotButton="0" quotePrefix="0" xfId="0">
      <alignment horizontal="center" vertical="center"/>
    </xf>
    <xf numFmtId="168" fontId="11" fillId="4" borderId="2" applyAlignment="1" pivotButton="0" quotePrefix="0" xfId="0">
      <alignment horizontal="center" vertical="center"/>
    </xf>
    <xf numFmtId="166" fontId="11" fillId="10" borderId="2" applyAlignment="1" pivotButton="0" quotePrefix="0" xfId="0">
      <alignment horizontal="center" vertical="center"/>
    </xf>
    <xf numFmtId="164" fontId="11" fillId="10" borderId="2" applyAlignment="1" pivotButton="0" quotePrefix="0" xfId="0">
      <alignment horizontal="center" vertical="center"/>
    </xf>
    <xf numFmtId="167" fontId="8" fillId="10" borderId="2" applyAlignment="1" pivotButton="0" quotePrefix="0" xfId="0">
      <alignment horizontal="center" vertical="center"/>
    </xf>
    <xf numFmtId="168" fontId="11" fillId="10" borderId="2" applyAlignment="1" pivotButton="0" quotePrefix="0" xfId="0">
      <alignment horizontal="center" vertical="center"/>
    </xf>
    <xf numFmtId="166" fontId="11" fillId="8" borderId="2" applyAlignment="1" pivotButton="0" quotePrefix="0" xfId="0">
      <alignment horizontal="center" vertical="center"/>
    </xf>
    <xf numFmtId="164" fontId="11" fillId="8" borderId="2" applyAlignment="1" pivotButton="0" quotePrefix="0" xfId="0">
      <alignment horizontal="center" vertical="center"/>
    </xf>
    <xf numFmtId="167" fontId="8" fillId="8" borderId="2" applyAlignment="1" pivotButton="0" quotePrefix="0" xfId="0">
      <alignment horizontal="center" vertical="center"/>
    </xf>
    <xf numFmtId="168" fontId="11" fillId="8" borderId="2" applyAlignment="1" pivotButton="0" quotePrefix="0" xfId="0">
      <alignment horizontal="center" vertical="center"/>
    </xf>
    <xf numFmtId="0" fontId="8" fillId="14" borderId="2" applyAlignment="1" pivotButton="0" quotePrefix="0" xfId="0">
      <alignment horizontal="center" vertical="center"/>
    </xf>
    <xf numFmtId="164" fontId="17" fillId="14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19" fillId="0" borderId="2" applyAlignment="1" pivotButton="0" quotePrefix="0" xfId="0">
      <alignment horizontal="center" vertical="center"/>
    </xf>
    <xf numFmtId="164" fontId="9" fillId="0" borderId="2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164" fontId="16" fillId="0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3" borderId="1" applyAlignment="1" pivotButton="0" quotePrefix="0" xfId="0">
      <alignment horizontal="left" vertical="center" indent="1"/>
    </xf>
    <xf numFmtId="164" fontId="6" fillId="3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4" fontId="10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164" fontId="9" fillId="7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164" fontId="9" fillId="10" borderId="2" applyAlignment="1" pivotButton="0" quotePrefix="0" xfId="0">
      <alignment horizontal="center" vertical="center"/>
    </xf>
    <xf numFmtId="164" fontId="14" fillId="11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9" fontId="11" fillId="4" borderId="2" applyAlignment="1" pivotButton="0" quotePrefix="0" xfId="0">
      <alignment horizontal="center" vertical="center"/>
    </xf>
    <xf numFmtId="164" fontId="11" fillId="4" borderId="2" applyAlignment="1" pivotButton="0" quotePrefix="0" xfId="0">
      <alignment horizontal="center" vertical="center"/>
    </xf>
    <xf numFmtId="165" fontId="10" fillId="5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9" fontId="11" fillId="8" borderId="2" applyAlignment="1" pivotButton="0" quotePrefix="0" xfId="0">
      <alignment horizontal="center" vertical="center"/>
    </xf>
    <xf numFmtId="164" fontId="11" fillId="8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9" fontId="11" fillId="10" borderId="2" applyAlignment="1" pivotButton="0" quotePrefix="0" xfId="0">
      <alignment horizontal="center" vertical="center"/>
    </xf>
    <xf numFmtId="164" fontId="11" fillId="10" borderId="2" applyAlignment="1" pivotButton="0" quotePrefix="0" xfId="0">
      <alignment horizontal="center" vertical="center"/>
    </xf>
    <xf numFmtId="165" fontId="8" fillId="6" borderId="2" applyAlignment="1" pivotButton="0" quotePrefix="0" xfId="0">
      <alignment horizontal="center" vertical="center"/>
    </xf>
    <xf numFmtId="9" fontId="11" fillId="7" borderId="2" applyAlignment="1" pivotButton="0" quotePrefix="0" xfId="0">
      <alignment horizontal="center" vertical="center"/>
    </xf>
    <xf numFmtId="164" fontId="11" fillId="7" borderId="2" applyAlignment="1" pivotButton="0" quotePrefix="0" xfId="0">
      <alignment horizontal="center" vertical="center"/>
    </xf>
    <xf numFmtId="165" fontId="14" fillId="11" borderId="2" applyAlignment="1" pivotButton="0" quotePrefix="0" xfId="0">
      <alignment horizontal="center" vertical="center"/>
    </xf>
    <xf numFmtId="9" fontId="7" fillId="2" borderId="2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 wrapText="1"/>
    </xf>
    <xf numFmtId="166" fontId="9" fillId="7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2" fontId="11" fillId="12" borderId="2" applyAlignment="1" pivotButton="0" quotePrefix="0" xfId="0">
      <alignment horizontal="center" vertical="center"/>
    </xf>
    <xf numFmtId="164" fontId="11" fillId="12" borderId="2" applyAlignment="1" pivotButton="0" quotePrefix="0" xfId="0">
      <alignment horizontal="center" vertical="center"/>
    </xf>
    <xf numFmtId="167" fontId="11" fillId="13" borderId="2" applyAlignment="1" pivotButton="0" quotePrefix="0" xfId="0">
      <alignment horizontal="center" vertical="center"/>
    </xf>
    <xf numFmtId="164" fontId="16" fillId="7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166" fontId="9" fillId="4" borderId="2" applyAlignment="1" pivotButton="0" quotePrefix="0" xfId="0">
      <alignment horizontal="center" vertical="center"/>
    </xf>
    <xf numFmtId="164" fontId="16" fillId="4" borderId="2" applyAlignment="1" pivotButton="0" quotePrefix="0" xfId="0">
      <alignment horizontal="center" vertical="center"/>
    </xf>
    <xf numFmtId="166" fontId="9" fillId="10" borderId="2" applyAlignment="1" pivotButton="0" quotePrefix="0" xfId="0">
      <alignment horizontal="center" vertical="center"/>
    </xf>
    <xf numFmtId="164" fontId="16" fillId="10" borderId="2" applyAlignment="1" pivotButton="0" quotePrefix="0" xfId="0">
      <alignment horizontal="center" vertical="center"/>
    </xf>
    <xf numFmtId="166" fontId="9" fillId="8" borderId="2" applyAlignment="1" pivotButton="0" quotePrefix="0" xfId="0">
      <alignment horizontal="center" vertical="center"/>
    </xf>
    <xf numFmtId="164" fontId="16" fillId="8" borderId="2" applyAlignment="1" pivotButton="0" quotePrefix="0" xfId="0">
      <alignment horizontal="center" vertical="center"/>
    </xf>
    <xf numFmtId="167" fontId="11" fillId="5" borderId="2" applyAlignment="1" pivotButton="0" quotePrefix="0" xfId="0">
      <alignment horizontal="center" vertical="center"/>
    </xf>
    <xf numFmtId="167" fontId="11" fillId="15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167" fontId="11" fillId="12" borderId="2" applyAlignment="1" pivotButton="0" quotePrefix="0" xfId="0">
      <alignment horizontal="center" vertical="center"/>
    </xf>
    <xf numFmtId="166" fontId="11" fillId="7" borderId="2" applyAlignment="1" pivotButton="0" quotePrefix="0" xfId="0">
      <alignment horizontal="center" vertical="center"/>
    </xf>
    <xf numFmtId="167" fontId="8" fillId="7" borderId="2" applyAlignment="1" pivotButton="0" quotePrefix="0" xfId="0">
      <alignment horizontal="center" vertical="center"/>
    </xf>
    <xf numFmtId="168" fontId="11" fillId="7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7" fontId="8" fillId="4" borderId="2" applyAlignment="1" pivotButton="0" quotePrefix="0" xfId="0">
      <alignment horizontal="center" vertical="center"/>
    </xf>
    <xf numFmtId="168" fontId="11" fillId="4" borderId="2" applyAlignment="1" pivotButton="0" quotePrefix="0" xfId="0">
      <alignment horizontal="center" vertical="center"/>
    </xf>
    <xf numFmtId="166" fontId="11" fillId="10" borderId="2" applyAlignment="1" pivotButton="0" quotePrefix="0" xfId="0">
      <alignment horizontal="center" vertical="center"/>
    </xf>
    <xf numFmtId="167" fontId="8" fillId="10" borderId="2" applyAlignment="1" pivotButton="0" quotePrefix="0" xfId="0">
      <alignment horizontal="center" vertical="center"/>
    </xf>
    <xf numFmtId="168" fontId="11" fillId="10" borderId="2" applyAlignment="1" pivotButton="0" quotePrefix="0" xfId="0">
      <alignment horizontal="center" vertical="center"/>
    </xf>
    <xf numFmtId="166" fontId="11" fillId="8" borderId="2" applyAlignment="1" pivotButton="0" quotePrefix="0" xfId="0">
      <alignment horizontal="center" vertical="center"/>
    </xf>
    <xf numFmtId="167" fontId="8" fillId="8" borderId="2" applyAlignment="1" pivotButton="0" quotePrefix="0" xfId="0">
      <alignment horizontal="center" vertical="center"/>
    </xf>
    <xf numFmtId="168" fontId="11" fillId="8" borderId="2" applyAlignment="1" pivotButton="0" quotePrefix="0" xfId="0">
      <alignment horizontal="center" vertical="center"/>
    </xf>
    <xf numFmtId="0" fontId="8" fillId="14" borderId="2" applyAlignment="1" pivotButton="0" quotePrefix="0" xfId="0">
      <alignment horizontal="center" vertical="center"/>
    </xf>
    <xf numFmtId="0" fontId="0" fillId="0" borderId="6" pivotButton="0" quotePrefix="0" xfId="0"/>
    <xf numFmtId="164" fontId="17" fillId="14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19" fillId="0" borderId="2" applyAlignment="1" pivotButton="0" quotePrefix="0" xfId="0">
      <alignment horizontal="center" vertical="center"/>
    </xf>
    <xf numFmtId="164" fontId="9" fillId="0" borderId="2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164" fontId="16" fillId="0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2F4F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DD6"/>
      <rgbColor rgb="FF888888"/>
      <rgbColor rgb="FF9999FF"/>
      <rgbColor rgb="FFD23232"/>
      <rgbColor rgb="FFFFF9C4"/>
      <rgbColor rgb="FFE6F4EA"/>
      <rgbColor rgb="FF660066"/>
      <rgbColor rgb="FFFF8080"/>
      <rgbColor rgb="FF0066CC"/>
      <rgbColor rgb="FFE8DAEF"/>
      <rgbColor rgb="FF000080"/>
      <rgbColor rgb="FFFF00FF"/>
      <rgbColor rgb="FFF2F4F7"/>
      <rgbColor rgb="FF00FFFF"/>
      <rgbColor rgb="FF800080"/>
      <rgbColor rgb="FF800000"/>
      <rgbColor rgb="FF008080"/>
      <rgbColor rgb="FF0000FF"/>
      <rgbColor rgb="FF00CCFF"/>
      <rgbColor rgb="FFE8EDF2"/>
      <rgbColor rgb="FFD5F5E3"/>
      <rgbColor rgb="FFFEF3C7"/>
      <rgbColor rgb="FFD6E4F0"/>
      <rgbColor rgb="FFFEE2E2"/>
      <rgbColor rgb="FFFDECEA"/>
      <rgbColor rgb="FFFAD7A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EA050"/>
      <rgbColor rgb="FF0D1B2A"/>
      <rgbColor rgb="FF333300"/>
      <rgbColor rgb="FFB45309"/>
      <rgbColor rgb="FF993366"/>
      <rgbColor rgb="FF2E4057"/>
      <rgbColor rgb="FF1B2A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88" min="1" max="1"/>
    <col width="16" customWidth="1" style="88" min="2" max="5"/>
    <col width="20" customWidth="1" style="88" min="6" max="6"/>
    <col width="28" customWidth="1" style="88" min="7" max="7"/>
  </cols>
  <sheetData>
    <row r="1" ht="31.5" customHeight="1" s="89">
      <c r="A1" s="90" t="inlineStr">
        <is>
          <t>PUNDICCI INVESTMENT COLLECTIVE — MASTER SUMMARY</t>
        </is>
      </c>
      <c r="B1" s="91" t="n"/>
      <c r="C1" s="91" t="n"/>
      <c r="D1" s="91" t="n"/>
      <c r="E1" s="91" t="n"/>
      <c r="F1" s="91" t="n"/>
      <c r="G1" s="91" t="n"/>
    </row>
    <row r="2" ht="7.5" customHeight="1" s="89"/>
    <row r="3" ht="24" customHeight="1" s="89">
      <c r="A3" s="92" t="inlineStr">
        <is>
          <t>COLLECTIVE ACCOUNT BALANCE</t>
        </is>
      </c>
      <c r="B3" s="91" t="n"/>
      <c r="C3" s="91" t="n"/>
      <c r="D3" s="93">
        <f>'2026 Tracker'!I50</f>
        <v/>
      </c>
      <c r="E3" s="91" t="n"/>
      <c r="F3" s="91" t="n"/>
      <c r="G3" s="91" t="n"/>
    </row>
    <row r="4" ht="7.5" customHeight="1" s="89"/>
    <row r="5" ht="24" customHeight="1" s="89">
      <c r="A5" s="94" t="inlineStr">
        <is>
          <t>Member</t>
        </is>
      </c>
      <c r="B5" s="94" t="inlineStr">
        <is>
          <t>Annual Total</t>
        </is>
      </c>
      <c r="C5" s="94" t="inlineStr">
        <is>
          <t>Amount Paid</t>
        </is>
      </c>
      <c r="D5" s="94" t="inlineStr">
        <is>
          <t>Outstanding</t>
        </is>
      </c>
      <c r="E5" s="94" t="inlineStr">
        <is>
          <t>Status</t>
        </is>
      </c>
      <c r="F5" s="94" t="inlineStr">
        <is>
          <t>Next Due</t>
        </is>
      </c>
      <c r="G5" s="94" t="inlineStr">
        <is>
          <t>Notes</t>
        </is>
      </c>
    </row>
    <row r="6" ht="21.75" customHeight="1" s="89">
      <c r="A6" s="95" t="inlineStr">
        <is>
          <t>Charlie</t>
        </is>
      </c>
      <c r="B6" s="96" t="n">
        <v>360</v>
      </c>
      <c r="C6" s="96" t="n">
        <v>360</v>
      </c>
      <c r="D6" s="97" t="n">
        <v>0</v>
      </c>
      <c r="E6" s="98" t="inlineStr">
        <is>
          <t>✓ PAID IN FULL</t>
        </is>
      </c>
      <c r="F6" s="99" t="inlineStr">
        <is>
          <t>—</t>
        </is>
      </c>
      <c r="G6" s="100" t="inlineStr">
        <is>
          <t>Full year pre-paid</t>
        </is>
      </c>
    </row>
    <row r="7" ht="21.75" customHeight="1" s="89">
      <c r="A7" s="101" t="inlineStr">
        <is>
          <t>Douchie</t>
        </is>
      </c>
      <c r="B7" s="102" t="n">
        <v>360</v>
      </c>
      <c r="C7" s="102" t="n">
        <v>360</v>
      </c>
      <c r="D7" s="97" t="n">
        <v>0</v>
      </c>
      <c r="E7" s="98" t="inlineStr">
        <is>
          <t>✓ PAID IN FULL</t>
        </is>
      </c>
      <c r="F7" s="103" t="inlineStr">
        <is>
          <t>—</t>
        </is>
      </c>
      <c r="G7" s="100" t="inlineStr">
        <is>
          <t>Full year pre-paid</t>
        </is>
      </c>
    </row>
    <row r="8" ht="21.75" customHeight="1" s="89">
      <c r="A8" s="104" t="inlineStr">
        <is>
          <t>Nic</t>
        </is>
      </c>
      <c r="B8" s="105" t="n">
        <v>360</v>
      </c>
      <c r="C8" s="105" t="n">
        <v>280</v>
      </c>
      <c r="D8" s="106" t="n">
        <v>80</v>
      </c>
      <c r="E8" s="107" t="inlineStr">
        <is>
          <t>⚠ PARTIAL</t>
        </is>
      </c>
      <c r="F8" s="108" t="inlineStr">
        <is>
          <t>TBD</t>
        </is>
      </c>
      <c r="G8" s="100" t="inlineStr">
        <is>
          <t>$80 remaining outstanding</t>
        </is>
      </c>
    </row>
    <row r="9" ht="21.75" customHeight="1" s="89">
      <c r="A9" s="109" t="inlineStr">
        <is>
          <t>Shannon</t>
        </is>
      </c>
      <c r="B9" s="110" t="n">
        <v>360</v>
      </c>
      <c r="C9" s="110" t="n">
        <v>0</v>
      </c>
      <c r="D9" s="111" t="n">
        <v>360</v>
      </c>
      <c r="E9" s="112" t="inlineStr">
        <is>
          <t>✗ OVERDUE</t>
        </is>
      </c>
      <c r="F9" s="113" t="inlineStr">
        <is>
          <t>Immediate</t>
        </is>
      </c>
      <c r="G9" s="100" t="inlineStr">
        <is>
          <t>$120 owed for 4 past weeks</t>
        </is>
      </c>
    </row>
    <row r="10" ht="24" customHeight="1" s="89">
      <c r="A10" s="114" t="inlineStr">
        <is>
          <t>TOTALS</t>
        </is>
      </c>
      <c r="B10" s="115" t="n">
        <v>1440</v>
      </c>
      <c r="C10" s="115" t="n">
        <v>1000</v>
      </c>
      <c r="D10" s="111" t="n">
        <v>440</v>
      </c>
      <c r="E10" s="116" t="n"/>
      <c r="F10" s="116" t="n"/>
      <c r="G10" s="116" t="n"/>
    </row>
    <row r="11" ht="7.5" customHeight="1" s="89"/>
    <row r="12" ht="24" customHeight="1" s="89">
      <c r="A12" s="92" t="inlineStr">
        <is>
          <t>BET PERFORMANCE SUMMARY</t>
        </is>
      </c>
      <c r="B12" s="91" t="n"/>
      <c r="C12" s="91" t="n"/>
      <c r="D12" s="91" t="n"/>
      <c r="E12" s="91" t="n"/>
      <c r="F12" s="91" t="n"/>
      <c r="G12" s="91" t="n"/>
    </row>
    <row r="13" ht="21.75" customHeight="1" s="89">
      <c r="A13" s="94" t="inlineStr">
        <is>
          <t>Member</t>
        </is>
      </c>
      <c r="B13" s="94" t="inlineStr">
        <is>
          <t>Bets</t>
        </is>
      </c>
      <c r="C13" s="94" t="inlineStr">
        <is>
          <t>Wins</t>
        </is>
      </c>
      <c r="D13" s="94" t="inlineStr">
        <is>
          <t>Losses</t>
        </is>
      </c>
      <c r="E13" s="94" t="inlineStr">
        <is>
          <t>Win Rate</t>
        </is>
      </c>
      <c r="F13" s="94" t="inlineStr">
        <is>
          <t>Total Return</t>
        </is>
      </c>
      <c r="G13" s="94" t="inlineStr">
        <is>
          <t>Net P&amp;L</t>
        </is>
      </c>
    </row>
    <row r="14" ht="21.75" customHeight="1" s="89">
      <c r="A14" s="95" t="inlineStr">
        <is>
          <t>Charlie</t>
        </is>
      </c>
      <c r="B14" s="99" t="n">
        <v>5</v>
      </c>
      <c r="C14" s="99" t="n">
        <v>2</v>
      </c>
      <c r="D14" s="99" t="n">
        <v>3</v>
      </c>
      <c r="E14" s="117" t="n">
        <v>0.4</v>
      </c>
      <c r="F14" s="118" t="n">
        <v>276.05</v>
      </c>
      <c r="G14" s="119" t="n">
        <v>126.05</v>
      </c>
    </row>
    <row r="15" ht="21.75" customHeight="1" s="89">
      <c r="A15" s="104" t="inlineStr">
        <is>
          <t>Nic</t>
        </is>
      </c>
      <c r="B15" s="120" t="n">
        <v>2</v>
      </c>
      <c r="C15" s="120" t="n">
        <v>1</v>
      </c>
      <c r="D15" s="120" t="n">
        <v>1</v>
      </c>
      <c r="E15" s="121" t="n">
        <v>0.5</v>
      </c>
      <c r="F15" s="122" t="n">
        <v>71.25</v>
      </c>
      <c r="G15" s="119" t="n">
        <v>11.25</v>
      </c>
    </row>
    <row r="16" ht="21.75" customHeight="1" s="89">
      <c r="A16" s="109" t="inlineStr">
        <is>
          <t>Shannon</t>
        </is>
      </c>
      <c r="B16" s="123" t="n">
        <v>4</v>
      </c>
      <c r="C16" s="123" t="n">
        <v>1</v>
      </c>
      <c r="D16" s="123" t="n">
        <v>3</v>
      </c>
      <c r="E16" s="124" t="n">
        <v>0.25</v>
      </c>
      <c r="F16" s="125" t="n">
        <v>120</v>
      </c>
      <c r="G16" s="126" t="n">
        <v>0</v>
      </c>
    </row>
    <row r="17" ht="21.75" customHeight="1" s="89">
      <c r="A17" s="101" t="inlineStr">
        <is>
          <t>Douchie</t>
        </is>
      </c>
      <c r="B17" s="103" t="n">
        <v>5</v>
      </c>
      <c r="C17" s="103" t="n">
        <v>1</v>
      </c>
      <c r="D17" s="103" t="n">
        <v>4</v>
      </c>
      <c r="E17" s="127" t="n">
        <v>0.2</v>
      </c>
      <c r="F17" s="128" t="n">
        <v>129.34</v>
      </c>
      <c r="G17" s="129" t="n">
        <v>-20.66</v>
      </c>
    </row>
    <row r="18" ht="24" customHeight="1" s="89">
      <c r="A18" s="114" t="inlineStr">
        <is>
          <t>TOTALS</t>
        </is>
      </c>
      <c r="B18" s="114" t="n">
        <v>16</v>
      </c>
      <c r="C18" s="114" t="n">
        <v>5</v>
      </c>
      <c r="D18" s="114" t="n">
        <v>11</v>
      </c>
      <c r="E18" s="130" t="n">
        <v>0.3125</v>
      </c>
      <c r="F18" s="115" t="n">
        <v>596.64</v>
      </c>
      <c r="G18" s="97" t="n">
        <v>116.64</v>
      </c>
    </row>
    <row r="19" ht="7.5" customHeight="1" s="89"/>
    <row r="20" ht="18" customHeight="1" s="89">
      <c r="A20" s="131" t="inlineStr">
        <is>
          <t>Account balance as at 29 May 2026: $6,735.61  ·  Net P&amp;L = Bet Return minus Stake (stake from captain's own pocket)</t>
        </is>
      </c>
      <c r="B20" s="91" t="n"/>
      <c r="C20" s="91" t="n"/>
      <c r="D20" s="91" t="n"/>
      <c r="E20" s="91" t="n"/>
      <c r="F20" s="91" t="n"/>
      <c r="G20" s="91" t="n"/>
    </row>
  </sheetData>
  <mergeCells count="5">
    <mergeCell ref="A1:G1"/>
    <mergeCell ref="D3:G3"/>
    <mergeCell ref="A12:G12"/>
    <mergeCell ref="A20:G20"/>
    <mergeCell ref="A3:C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88" min="1" max="1"/>
    <col width="12" customWidth="1" style="88" min="2" max="2"/>
    <col width="13" customWidth="1" style="88" min="3" max="3"/>
    <col width="30" customWidth="1" style="88" min="4" max="4"/>
    <col width="8" customWidth="1" style="88" min="5" max="8"/>
    <col width="18" customWidth="1" style="88" min="9" max="9"/>
    <col width="30" customWidth="1" style="88" min="10" max="10"/>
  </cols>
  <sheetData>
    <row r="1" ht="30" customHeight="1" s="89">
      <c r="A1" s="132" t="inlineStr">
        <is>
          <t>PUNDICCI INVESTMENT COLLECTIVE — 2026 TRACKER</t>
        </is>
      </c>
    </row>
    <row r="2" ht="27.75" customHeight="1" s="89">
      <c r="A2" s="133" t="inlineStr">
        <is>
          <t>Date</t>
        </is>
      </c>
      <c r="B2" s="133" t="inlineStr">
        <is>
          <t>Captain</t>
        </is>
      </c>
      <c r="C2" s="133" t="inlineStr">
        <is>
          <t>Savings ($)</t>
        </is>
      </c>
      <c r="D2" s="133" t="inlineStr">
        <is>
          <t>Bet Description</t>
        </is>
      </c>
      <c r="E2" s="133" t="inlineStr">
        <is>
          <t>Odds</t>
        </is>
      </c>
      <c r="F2" s="133" t="inlineStr">
        <is>
          <t>Bet Stake ($)</t>
        </is>
      </c>
      <c r="G2" s="133" t="inlineStr">
        <is>
          <t>Bet Return ($)</t>
        </is>
      </c>
      <c r="H2" s="133" t="inlineStr">
        <is>
          <t>Win/Loss</t>
        </is>
      </c>
      <c r="I2" s="133" t="inlineStr">
        <is>
          <t>Pool Balance ($)</t>
        </is>
      </c>
      <c r="J2" s="133" t="inlineStr">
        <is>
          <t>Notes</t>
        </is>
      </c>
    </row>
    <row r="3" ht="19.5" customHeight="1" s="89">
      <c r="A3" s="103" t="inlineStr">
        <is>
          <t>24 Jan 2026</t>
        </is>
      </c>
      <c r="B3" s="101" t="inlineStr">
        <is>
          <t>Douchie</t>
        </is>
      </c>
      <c r="C3" s="134" t="n">
        <v>0</v>
      </c>
      <c r="D3" s="135" t="inlineStr">
        <is>
          <t>Bet Lost</t>
        </is>
      </c>
      <c r="E3" s="136" t="n">
        <v>30</v>
      </c>
      <c r="F3" s="134" t="n">
        <v>30</v>
      </c>
      <c r="G3" s="137" t="n">
        <v>0</v>
      </c>
      <c r="H3" s="138" t="inlineStr">
        <is>
          <t>Loss</t>
        </is>
      </c>
      <c r="I3" s="139">
        <f>IF(G3="",6138.97+C3,6138.97+C3+G3)</f>
        <v/>
      </c>
      <c r="J3" s="140" t="n"/>
    </row>
    <row r="4" ht="19.5" customHeight="1" s="89">
      <c r="A4" s="99" t="inlineStr">
        <is>
          <t>31 Jan 2026</t>
        </is>
      </c>
      <c r="B4" s="95" t="inlineStr">
        <is>
          <t>Charlie</t>
        </is>
      </c>
      <c r="C4" s="141" t="n">
        <v>0</v>
      </c>
      <c r="D4" s="135" t="inlineStr">
        <is>
          <t>Bet Lost</t>
        </is>
      </c>
      <c r="E4" s="136" t="n">
        <v>30</v>
      </c>
      <c r="F4" s="141" t="n">
        <v>30</v>
      </c>
      <c r="G4" s="137" t="n">
        <v>0</v>
      </c>
      <c r="H4" s="138" t="inlineStr">
        <is>
          <t>Loss</t>
        </is>
      </c>
      <c r="I4" s="142">
        <f>IF(G4="",I3+C4,I3+C4+G4)</f>
        <v/>
      </c>
      <c r="J4" s="140" t="n"/>
    </row>
    <row r="5" ht="19.5" customHeight="1" s="89">
      <c r="A5" s="123" t="inlineStr">
        <is>
          <t>07 Feb 2026</t>
        </is>
      </c>
      <c r="B5" s="109" t="inlineStr">
        <is>
          <t>Shannon</t>
        </is>
      </c>
      <c r="C5" s="143" t="n">
        <v>0</v>
      </c>
      <c r="D5" s="135" t="inlineStr">
        <is>
          <t>Bet Lost</t>
        </is>
      </c>
      <c r="E5" s="136" t="n">
        <v>30</v>
      </c>
      <c r="F5" s="143" t="n">
        <v>30</v>
      </c>
      <c r="G5" s="137" t="n">
        <v>0</v>
      </c>
      <c r="H5" s="138" t="inlineStr">
        <is>
          <t>Loss</t>
        </is>
      </c>
      <c r="I5" s="144">
        <f>IF(G5="",I4+C5,I4+C5+G5)</f>
        <v/>
      </c>
      <c r="J5" s="140" t="n"/>
    </row>
    <row r="6" ht="19.5" customHeight="1" s="89">
      <c r="A6" s="120" t="inlineStr">
        <is>
          <t>14 Feb 2026</t>
        </is>
      </c>
      <c r="B6" s="104" t="inlineStr">
        <is>
          <t>Nic</t>
        </is>
      </c>
      <c r="C6" s="145" t="n">
        <v>0</v>
      </c>
      <c r="D6" s="135" t="inlineStr">
        <is>
          <t>Bet Lost</t>
        </is>
      </c>
      <c r="E6" s="136" t="n">
        <v>30</v>
      </c>
      <c r="F6" s="145" t="n">
        <v>30</v>
      </c>
      <c r="G6" s="137" t="n">
        <v>0</v>
      </c>
      <c r="H6" s="138" t="inlineStr">
        <is>
          <t>Loss</t>
        </is>
      </c>
      <c r="I6" s="146">
        <f>IF(G6="",I5+C6,I5+C6+G6)</f>
        <v/>
      </c>
      <c r="J6" s="140" t="n"/>
    </row>
    <row r="7" ht="19.5" customHeight="1" s="89">
      <c r="A7" s="103" t="inlineStr">
        <is>
          <t>21 Feb 2026</t>
        </is>
      </c>
      <c r="B7" s="101" t="inlineStr">
        <is>
          <t>Douchie</t>
        </is>
      </c>
      <c r="C7" s="134" t="n">
        <v>0</v>
      </c>
      <c r="D7" s="135" t="inlineStr">
        <is>
          <t>Flemington Quaddie</t>
        </is>
      </c>
      <c r="E7" s="136" t="n">
        <v>30</v>
      </c>
      <c r="F7" s="134" t="n">
        <v>30</v>
      </c>
      <c r="G7" s="137" t="n">
        <v>129.34</v>
      </c>
      <c r="H7" s="147" t="inlineStr">
        <is>
          <t>Win</t>
        </is>
      </c>
      <c r="I7" s="139">
        <f>IF(G7="",I6+C7,I6+C7+G7)</f>
        <v/>
      </c>
      <c r="J7" s="140" t="n"/>
    </row>
    <row r="8" ht="19.5" customHeight="1" s="89">
      <c r="A8" s="99" t="inlineStr">
        <is>
          <t>28 Feb 2026</t>
        </is>
      </c>
      <c r="B8" s="95" t="inlineStr">
        <is>
          <t>Charlie</t>
        </is>
      </c>
      <c r="C8" s="141" t="n">
        <v>0</v>
      </c>
      <c r="D8" s="135" t="inlineStr">
        <is>
          <t>Flemington Race 8 - Ahha Ahha</t>
        </is>
      </c>
      <c r="E8" s="136" t="n">
        <v>5.5</v>
      </c>
      <c r="F8" s="141" t="n">
        <v>30</v>
      </c>
      <c r="G8" s="137" t="n">
        <v>165</v>
      </c>
      <c r="H8" s="147" t="inlineStr">
        <is>
          <t>Win</t>
        </is>
      </c>
      <c r="I8" s="142">
        <f>IF(G8="",I7+C8,I7+C8+G8)</f>
        <v/>
      </c>
      <c r="J8" s="140" t="n"/>
    </row>
    <row r="9" ht="19.5" customHeight="1" s="89">
      <c r="A9" s="123" t="inlineStr">
        <is>
          <t>07 Mar 2026</t>
        </is>
      </c>
      <c r="B9" s="109" t="inlineStr">
        <is>
          <t>Shannon</t>
        </is>
      </c>
      <c r="C9" s="143" t="n">
        <v>0</v>
      </c>
      <c r="D9" s="135" t="inlineStr">
        <is>
          <t>Bet Lost</t>
        </is>
      </c>
      <c r="E9" s="136" t="n">
        <v>30</v>
      </c>
      <c r="F9" s="143" t="n">
        <v>30</v>
      </c>
      <c r="G9" s="137" t="n">
        <v>0</v>
      </c>
      <c r="H9" s="138" t="inlineStr">
        <is>
          <t>Loss</t>
        </is>
      </c>
      <c r="I9" s="144">
        <f>IF(G9="",I8+C9,I8+C9+G9)</f>
        <v/>
      </c>
      <c r="J9" s="140" t="n"/>
    </row>
    <row r="10" ht="19.5" customHeight="1" s="89">
      <c r="A10" s="120" t="inlineStr">
        <is>
          <t>14 Mar 2026</t>
        </is>
      </c>
      <c r="B10" s="104" t="inlineStr">
        <is>
          <t>Nic</t>
        </is>
      </c>
      <c r="C10" s="145" t="n">
        <v>0</v>
      </c>
      <c r="D10" s="135" t="inlineStr">
        <is>
          <t>Multi - Melbourne Storm, Penrith Panthers, Queensland Reds</t>
        </is>
      </c>
      <c r="E10" s="136" t="n">
        <v>2.37</v>
      </c>
      <c r="F10" s="145" t="n">
        <v>30</v>
      </c>
      <c r="G10" s="137" t="n">
        <v>71.25</v>
      </c>
      <c r="H10" s="147" t="inlineStr">
        <is>
          <t>Win</t>
        </is>
      </c>
      <c r="I10" s="146">
        <f>IF(G10="",I9+C10,I9+C10+G10)</f>
        <v/>
      </c>
      <c r="J10" s="140" t="n"/>
    </row>
    <row r="11" ht="19.5" customHeight="1" s="89">
      <c r="A11" s="103" t="inlineStr">
        <is>
          <t>21 Mar 2026</t>
        </is>
      </c>
      <c r="B11" s="101" t="inlineStr">
        <is>
          <t>Douchie</t>
        </is>
      </c>
      <c r="C11" s="134" t="n">
        <v>0</v>
      </c>
      <c r="D11" s="135" t="inlineStr">
        <is>
          <t>Bet Lost</t>
        </is>
      </c>
      <c r="E11" s="136" t="n">
        <v>30</v>
      </c>
      <c r="F11" s="134" t="n">
        <v>30</v>
      </c>
      <c r="G11" s="137" t="n">
        <v>0</v>
      </c>
      <c r="H11" s="138" t="inlineStr">
        <is>
          <t>Loss</t>
        </is>
      </c>
      <c r="I11" s="139">
        <f>IF(G11="",I10+C11,I10+C11+G11)</f>
        <v/>
      </c>
      <c r="J11" s="140" t="n"/>
    </row>
    <row r="12" ht="19.5" customHeight="1" s="89">
      <c r="A12" s="99" t="inlineStr">
        <is>
          <t>28 Mar 2026</t>
        </is>
      </c>
      <c r="B12" s="95" t="inlineStr">
        <is>
          <t>Charlie</t>
        </is>
      </c>
      <c r="C12" s="141" t="n">
        <v>0</v>
      </c>
      <c r="D12" s="135" t="inlineStr">
        <is>
          <t>Bet Lost</t>
        </is>
      </c>
      <c r="E12" s="136" t="n">
        <v>30</v>
      </c>
      <c r="F12" s="141" t="n">
        <v>30</v>
      </c>
      <c r="G12" s="137" t="n">
        <v>0</v>
      </c>
      <c r="H12" s="138" t="inlineStr">
        <is>
          <t>Loss</t>
        </is>
      </c>
      <c r="I12" s="142">
        <f>IF(G12="",I11+C12,I11+C12+G12)</f>
        <v/>
      </c>
      <c r="J12" s="140" t="n"/>
    </row>
    <row r="13" ht="19.5" customHeight="1" s="89">
      <c r="A13" s="123" t="inlineStr">
        <is>
          <t>04 Apr 2026</t>
        </is>
      </c>
      <c r="B13" s="109" t="inlineStr">
        <is>
          <t>Shannon</t>
        </is>
      </c>
      <c r="C13" s="143" t="n">
        <v>0</v>
      </c>
      <c r="D13" s="135" t="inlineStr">
        <is>
          <t>Randwick Race 7 - Joliestar</t>
        </is>
      </c>
      <c r="E13" s="136" t="n">
        <v>4</v>
      </c>
      <c r="F13" s="143" t="n">
        <v>30</v>
      </c>
      <c r="G13" s="137" t="n">
        <v>120</v>
      </c>
      <c r="H13" s="147" t="inlineStr">
        <is>
          <t>Win</t>
        </is>
      </c>
      <c r="I13" s="144">
        <f>IF(G13="",I12+C13,I12+C13+G13)</f>
        <v/>
      </c>
      <c r="J13" s="140" t="n"/>
    </row>
    <row r="14" ht="19.5" customHeight="1" s="89">
      <c r="A14" s="120" t="inlineStr">
        <is>
          <t>11 Apr 2026</t>
        </is>
      </c>
      <c r="B14" s="104" t="inlineStr">
        <is>
          <t>Nic</t>
        </is>
      </c>
      <c r="C14" s="145" t="n">
        <v>0</v>
      </c>
      <c r="D14" s="135" t="n"/>
      <c r="E14" s="136" t="n">
        <v>30</v>
      </c>
      <c r="F14" s="145" t="n">
        <v>30</v>
      </c>
      <c r="G14" s="137" t="n"/>
      <c r="H14" s="148" t="inlineStr">
        <is>
          <t>No Bet</t>
        </is>
      </c>
      <c r="I14" s="146">
        <f>IF(G14="",I13+C14,I13+C14+G14)</f>
        <v/>
      </c>
      <c r="J14" s="140" t="n"/>
    </row>
    <row r="15" ht="19.5" customHeight="1" s="89">
      <c r="A15" s="103" t="inlineStr">
        <is>
          <t>18 Apr 2026</t>
        </is>
      </c>
      <c r="B15" s="101" t="inlineStr">
        <is>
          <t>Douchie</t>
        </is>
      </c>
      <c r="C15" s="134" t="n">
        <v>0</v>
      </c>
      <c r="D15" s="135" t="inlineStr">
        <is>
          <t>Bet Lost</t>
        </is>
      </c>
      <c r="E15" s="136" t="n">
        <v>30</v>
      </c>
      <c r="F15" s="134" t="n">
        <v>30</v>
      </c>
      <c r="G15" s="137" t="n">
        <v>0</v>
      </c>
      <c r="H15" s="138" t="inlineStr">
        <is>
          <t>Loss</t>
        </is>
      </c>
      <c r="I15" s="139">
        <f>IF(G15="",I14+C15,I14+C15+G15)</f>
        <v/>
      </c>
      <c r="J15" s="140" t="n"/>
    </row>
    <row r="16" ht="19.5" customHeight="1" s="89">
      <c r="A16" s="99" t="inlineStr">
        <is>
          <t>25 Apr 2026</t>
        </is>
      </c>
      <c r="B16" s="95" t="inlineStr">
        <is>
          <t>Charlie</t>
        </is>
      </c>
      <c r="C16" s="141" t="n">
        <v>0</v>
      </c>
      <c r="D16" s="135" t="inlineStr">
        <is>
          <t>(1) Morphetville R1 - Staand Deel @2.35 $25 stake | (2) Multi - Lions 40+, Cats 40+, St Kilda 1-39, Swans H2H $5 stake</t>
        </is>
      </c>
      <c r="E16" s="136" t="inlineStr">
        <is>
          <t>2.35 / Multi</t>
        </is>
      </c>
      <c r="F16" s="141" t="n">
        <v>30</v>
      </c>
      <c r="G16" s="137" t="n">
        <v>111.05</v>
      </c>
      <c r="H16" s="147" t="inlineStr">
        <is>
          <t>Win</t>
        </is>
      </c>
      <c r="I16" s="142">
        <f>IF(G16="",I15+C16,I15+C16+G16)</f>
        <v/>
      </c>
      <c r="J16" s="140" t="n"/>
    </row>
    <row r="17" ht="19.5" customHeight="1" s="89">
      <c r="A17" s="123" t="inlineStr">
        <is>
          <t>02 May 2026</t>
        </is>
      </c>
      <c r="B17" s="109" t="inlineStr">
        <is>
          <t>Shannon</t>
        </is>
      </c>
      <c r="C17" s="143" t="n">
        <v>0</v>
      </c>
      <c r="D17" s="135" t="inlineStr">
        <is>
          <t>Bet Lost</t>
        </is>
      </c>
      <c r="E17" s="136" t="n"/>
      <c r="F17" s="143" t="n">
        <v>30</v>
      </c>
      <c r="G17" s="137" t="n">
        <v>0</v>
      </c>
      <c r="H17" s="138" t="inlineStr">
        <is>
          <t>Loss</t>
        </is>
      </c>
      <c r="I17" s="144">
        <f>IF(G17="",I16+C17,I16+C17+G17)</f>
        <v/>
      </c>
      <c r="J17" s="140" t="n"/>
    </row>
    <row r="18" ht="19.5" customHeight="1" s="89">
      <c r="A18" s="120" t="inlineStr">
        <is>
          <t>09 May 2026</t>
        </is>
      </c>
      <c r="B18" s="104" t="inlineStr">
        <is>
          <t>Nic</t>
        </is>
      </c>
      <c r="C18" s="145" t="n">
        <v>0</v>
      </c>
      <c r="D18" s="135" t="n"/>
      <c r="E18" s="136" t="n">
        <v>30</v>
      </c>
      <c r="F18" s="145" t="n">
        <v>30</v>
      </c>
      <c r="G18" s="137" t="n"/>
      <c r="H18" s="148" t="inlineStr">
        <is>
          <t>No Bet</t>
        </is>
      </c>
      <c r="I18" s="146">
        <f>IF(G18="",I17+C18,I17+C18+G18)</f>
        <v/>
      </c>
      <c r="J18" s="140" t="n"/>
    </row>
    <row r="19" ht="19.5" customHeight="1" s="89">
      <c r="A19" s="103" t="inlineStr">
        <is>
          <t>16 May 2026</t>
        </is>
      </c>
      <c r="B19" s="101" t="inlineStr">
        <is>
          <t>Douchie</t>
        </is>
      </c>
      <c r="C19" s="134" t="n">
        <v>0</v>
      </c>
      <c r="D19" s="135" t="inlineStr">
        <is>
          <t>Bet Lost</t>
        </is>
      </c>
      <c r="E19" s="136" t="n">
        <v>30</v>
      </c>
      <c r="F19" s="134" t="n">
        <v>30</v>
      </c>
      <c r="G19" s="137" t="n">
        <v>0</v>
      </c>
      <c r="H19" s="138" t="inlineStr">
        <is>
          <t>Loss</t>
        </is>
      </c>
      <c r="I19" s="139">
        <f>IF(G19="",I18+C19,I18+C19+G19)</f>
        <v/>
      </c>
      <c r="J19" s="140" t="n"/>
    </row>
    <row r="20" ht="19.5" customHeight="1" s="89">
      <c r="A20" s="99" t="inlineStr">
        <is>
          <t>23 May 2026</t>
        </is>
      </c>
      <c r="B20" s="95" t="inlineStr">
        <is>
          <t>Charlie</t>
        </is>
      </c>
      <c r="C20" s="141" t="n">
        <v>0</v>
      </c>
      <c r="D20" s="135" t="inlineStr">
        <is>
          <t>Bet Lost</t>
        </is>
      </c>
      <c r="E20" s="136" t="inlineStr">
        <is>
          <t>—</t>
        </is>
      </c>
      <c r="F20" s="141" t="n">
        <v>20</v>
      </c>
      <c r="G20" s="137" t="n">
        <v>0</v>
      </c>
      <c r="H20" s="138" t="inlineStr">
        <is>
          <t>Loss</t>
        </is>
      </c>
      <c r="I20" s="142">
        <f>IF(G20="",I19+C20,I19+C20+G20)</f>
        <v/>
      </c>
      <c r="J20" s="140" t="inlineStr">
        <is>
          <t>Partial — $10 SGM still pending</t>
        </is>
      </c>
    </row>
    <row r="21" ht="19.5" customHeight="1" s="89">
      <c r="A21" s="149" t="inlineStr">
        <is>
          <t>23 May 2026</t>
        </is>
      </c>
      <c r="B21" s="150" t="inlineStr">
        <is>
          <t>Charlie</t>
        </is>
      </c>
      <c r="C21" s="151" t="n">
        <v>0</v>
      </c>
      <c r="D21" s="152" t="inlineStr">
        <is>
          <t>SGM — Carlton v Geelong Cats (9-leg) · Fri 29 May 19:40</t>
        </is>
      </c>
      <c r="E21" s="149" t="n">
        <v>11.75</v>
      </c>
      <c r="F21" s="151" t="n">
        <v>10</v>
      </c>
      <c r="G21" s="149" t="inlineStr">
        <is>
          <t>—</t>
        </is>
      </c>
      <c r="H21" s="149" t="inlineStr">
        <is>
          <t>Pending</t>
        </is>
      </c>
      <c r="I21" s="153">
        <f>IF(G20="",I19+C20,I19+C20+G20)</f>
        <v/>
      </c>
      <c r="J21" t="inlineStr">
        <is>
          <t>Pot. $117.50 | U178.5 pts, GEE H2H, Weitering/Dangerfield/De Koning 10+ disp, McGovern/Mannagh/S.Neale/Kemp 1+ goal</t>
        </is>
      </c>
    </row>
    <row r="22" ht="19.5" customHeight="1" s="89">
      <c r="A22" s="123" t="inlineStr">
        <is>
          <t>30 May 2026</t>
        </is>
      </c>
      <c r="B22" s="109" t="inlineStr">
        <is>
          <t>Shannon</t>
        </is>
      </c>
      <c r="C22" s="143" t="n">
        <v>0</v>
      </c>
      <c r="D22" s="135" t="n"/>
      <c r="E22" s="136" t="n">
        <v>30</v>
      </c>
      <c r="F22" s="143" t="n">
        <v>30</v>
      </c>
      <c r="G22" s="137" t="n"/>
      <c r="H22" s="154" t="n"/>
      <c r="I22" s="144">
        <f>IF(G21="",I20+C21,I20+C21+G21)</f>
        <v/>
      </c>
      <c r="J22" s="140" t="n"/>
    </row>
    <row r="23" ht="19.5" customHeight="1" s="89">
      <c r="A23" s="120" t="inlineStr">
        <is>
          <t>06 Jun 2026</t>
        </is>
      </c>
      <c r="B23" s="104" t="inlineStr">
        <is>
          <t>Nic</t>
        </is>
      </c>
      <c r="C23" s="145" t="n">
        <v>0</v>
      </c>
      <c r="D23" s="135" t="n"/>
      <c r="E23" s="136" t="n">
        <v>30</v>
      </c>
      <c r="F23" s="145" t="n">
        <v>30</v>
      </c>
      <c r="G23" s="137" t="n"/>
      <c r="H23" s="154" t="n"/>
      <c r="I23" s="146">
        <f>IF(G22="",I21+C22,I21+C22+G22)</f>
        <v/>
      </c>
      <c r="J23" s="140" t="n"/>
    </row>
    <row r="24" ht="19.5" customHeight="1" s="89">
      <c r="A24" s="103" t="inlineStr">
        <is>
          <t>13 Jun 2026</t>
        </is>
      </c>
      <c r="B24" s="101" t="inlineStr">
        <is>
          <t>Douchie</t>
        </is>
      </c>
      <c r="C24" s="134" t="n">
        <v>0</v>
      </c>
      <c r="D24" s="135" t="n"/>
      <c r="E24" s="136" t="n">
        <v>30</v>
      </c>
      <c r="F24" s="134" t="n">
        <v>30</v>
      </c>
      <c r="G24" s="137" t="n"/>
      <c r="H24" s="154" t="n"/>
      <c r="I24" s="139">
        <f>IF(G23="",I22+C23,I22+C23+G23)</f>
        <v/>
      </c>
      <c r="J24" s="140" t="n"/>
    </row>
    <row r="25" ht="19.5" customHeight="1" s="89">
      <c r="A25" s="99" t="inlineStr">
        <is>
          <t>20 Jun 2026</t>
        </is>
      </c>
      <c r="B25" s="95" t="inlineStr">
        <is>
          <t>Charlie</t>
        </is>
      </c>
      <c r="C25" s="141" t="n">
        <v>0</v>
      </c>
      <c r="D25" s="135" t="n"/>
      <c r="E25" s="136" t="n">
        <v>30</v>
      </c>
      <c r="F25" s="141" t="n">
        <v>30</v>
      </c>
      <c r="G25" s="137" t="n"/>
      <c r="H25" s="154" t="n"/>
      <c r="I25" s="142">
        <f>IF(G24="",I23+C24,I23+C24+G24)</f>
        <v/>
      </c>
      <c r="J25" s="140" t="n"/>
    </row>
    <row r="26" ht="19.5" customHeight="1" s="89">
      <c r="A26" s="123" t="inlineStr">
        <is>
          <t>27 Jun 2026</t>
        </is>
      </c>
      <c r="B26" s="109" t="inlineStr">
        <is>
          <t>Shannon</t>
        </is>
      </c>
      <c r="C26" s="143" t="n">
        <v>0</v>
      </c>
      <c r="D26" s="135" t="n"/>
      <c r="E26" s="136" t="n">
        <v>30</v>
      </c>
      <c r="F26" s="143" t="n">
        <v>30</v>
      </c>
      <c r="G26" s="137" t="n"/>
      <c r="H26" s="154" t="n"/>
      <c r="I26" s="144">
        <f>IF(G25="",I24+C25,I24+C25+G25)</f>
        <v/>
      </c>
      <c r="J26" s="140" t="n"/>
    </row>
    <row r="27" ht="19.5" customHeight="1" s="89">
      <c r="A27" s="120" t="inlineStr">
        <is>
          <t>04 Jul 2026</t>
        </is>
      </c>
      <c r="B27" s="104" t="inlineStr">
        <is>
          <t>Nic</t>
        </is>
      </c>
      <c r="C27" s="145" t="n">
        <v>0</v>
      </c>
      <c r="D27" s="135" t="n"/>
      <c r="E27" s="136" t="n">
        <v>30</v>
      </c>
      <c r="F27" s="145" t="n">
        <v>30</v>
      </c>
      <c r="G27" s="137" t="n"/>
      <c r="H27" s="154" t="n"/>
      <c r="I27" s="146">
        <f>IF(G26="",I25+C26,I25+C26+G26)</f>
        <v/>
      </c>
      <c r="J27" s="140" t="n"/>
    </row>
    <row r="28" ht="19.5" customHeight="1" s="89">
      <c r="A28" s="103" t="inlineStr">
        <is>
          <t>11 Jul 2026</t>
        </is>
      </c>
      <c r="B28" s="101" t="inlineStr">
        <is>
          <t>Douchie</t>
        </is>
      </c>
      <c r="C28" s="134" t="n">
        <v>0</v>
      </c>
      <c r="D28" s="135" t="n"/>
      <c r="E28" s="136" t="n">
        <v>30</v>
      </c>
      <c r="F28" s="134" t="n">
        <v>30</v>
      </c>
      <c r="G28" s="137" t="n"/>
      <c r="H28" s="154" t="n"/>
      <c r="I28" s="139">
        <f>IF(G27="",I26+C27,I26+C27+G27)</f>
        <v/>
      </c>
      <c r="J28" s="140" t="n"/>
    </row>
    <row r="29" ht="19.5" customHeight="1" s="89">
      <c r="A29" s="99" t="inlineStr">
        <is>
          <t>18 Jul 2026</t>
        </is>
      </c>
      <c r="B29" s="95" t="inlineStr">
        <is>
          <t>Charlie</t>
        </is>
      </c>
      <c r="C29" s="141" t="n">
        <v>0</v>
      </c>
      <c r="D29" s="135" t="n"/>
      <c r="E29" s="136" t="n">
        <v>30</v>
      </c>
      <c r="F29" s="141" t="n">
        <v>30</v>
      </c>
      <c r="G29" s="137" t="n"/>
      <c r="H29" s="154" t="n"/>
      <c r="I29" s="142">
        <f>IF(G28="",I27+C28,I27+C28+G28)</f>
        <v/>
      </c>
      <c r="J29" s="140" t="n"/>
    </row>
    <row r="30" ht="19.5" customHeight="1" s="89">
      <c r="A30" s="123" t="inlineStr">
        <is>
          <t>25 Jul 2026</t>
        </is>
      </c>
      <c r="B30" s="109" t="inlineStr">
        <is>
          <t>Shannon</t>
        </is>
      </c>
      <c r="C30" s="143" t="n">
        <v>0</v>
      </c>
      <c r="D30" s="135" t="n"/>
      <c r="E30" s="136" t="n">
        <v>30</v>
      </c>
      <c r="F30" s="143" t="n">
        <v>30</v>
      </c>
      <c r="G30" s="137" t="n"/>
      <c r="H30" s="154" t="n"/>
      <c r="I30" s="144">
        <f>IF(G29="",I28+C29,I28+C29+G29)</f>
        <v/>
      </c>
      <c r="J30" s="140" t="n"/>
    </row>
    <row r="31" ht="19.5" customHeight="1" s="89">
      <c r="A31" s="120" t="inlineStr">
        <is>
          <t>01 Aug 2026</t>
        </is>
      </c>
      <c r="B31" s="104" t="inlineStr">
        <is>
          <t>Nic</t>
        </is>
      </c>
      <c r="C31" s="145" t="n">
        <v>0</v>
      </c>
      <c r="D31" s="135" t="n"/>
      <c r="E31" s="136" t="n">
        <v>30</v>
      </c>
      <c r="F31" s="145" t="n">
        <v>30</v>
      </c>
      <c r="G31" s="137" t="n"/>
      <c r="H31" s="154" t="n"/>
      <c r="I31" s="146">
        <f>IF(G30="",I29+C30,I29+C30+G30)</f>
        <v/>
      </c>
      <c r="J31" s="140" t="n"/>
    </row>
    <row r="32" ht="19.5" customHeight="1" s="89">
      <c r="A32" s="103" t="inlineStr">
        <is>
          <t>08 Aug 2026</t>
        </is>
      </c>
      <c r="B32" s="101" t="inlineStr">
        <is>
          <t>Douchie</t>
        </is>
      </c>
      <c r="C32" s="134" t="n">
        <v>0</v>
      </c>
      <c r="D32" s="135" t="n"/>
      <c r="E32" s="136" t="n">
        <v>30</v>
      </c>
      <c r="F32" s="134" t="n">
        <v>30</v>
      </c>
      <c r="G32" s="137" t="n"/>
      <c r="H32" s="154" t="n"/>
      <c r="I32" s="139">
        <f>IF(G31="",I30+C31,I30+C31+G31)</f>
        <v/>
      </c>
      <c r="J32" s="140" t="n"/>
    </row>
    <row r="33" ht="19.5" customHeight="1" s="89">
      <c r="A33" s="99" t="inlineStr">
        <is>
          <t>15 Aug 2026</t>
        </is>
      </c>
      <c r="B33" s="95" t="inlineStr">
        <is>
          <t>Charlie</t>
        </is>
      </c>
      <c r="C33" s="141" t="n">
        <v>0</v>
      </c>
      <c r="D33" s="135" t="n"/>
      <c r="E33" s="136" t="n">
        <v>30</v>
      </c>
      <c r="F33" s="141" t="n">
        <v>30</v>
      </c>
      <c r="G33" s="137" t="n"/>
      <c r="H33" s="154" t="n"/>
      <c r="I33" s="142">
        <f>IF(G32="",I31+C32,I31+C32+G32)</f>
        <v/>
      </c>
      <c r="J33" s="140" t="n"/>
    </row>
    <row r="34" ht="19.5" customHeight="1" s="89">
      <c r="A34" s="123" t="inlineStr">
        <is>
          <t>22 Aug 2026</t>
        </is>
      </c>
      <c r="B34" s="109" t="inlineStr">
        <is>
          <t>Shannon</t>
        </is>
      </c>
      <c r="C34" s="143" t="n">
        <v>0</v>
      </c>
      <c r="D34" s="135" t="n"/>
      <c r="E34" s="136" t="n">
        <v>30</v>
      </c>
      <c r="F34" s="143" t="n">
        <v>30</v>
      </c>
      <c r="G34" s="137" t="n"/>
      <c r="H34" s="154" t="n"/>
      <c r="I34" s="144">
        <f>IF(G33="",I32+C33,I32+C33+G33)</f>
        <v/>
      </c>
      <c r="J34" s="140" t="n"/>
    </row>
    <row r="35" ht="19.5" customHeight="1" s="89">
      <c r="A35" s="120" t="inlineStr">
        <is>
          <t>29 Aug 2026</t>
        </is>
      </c>
      <c r="B35" s="104" t="inlineStr">
        <is>
          <t>Nic</t>
        </is>
      </c>
      <c r="C35" s="145" t="n">
        <v>0</v>
      </c>
      <c r="D35" s="135" t="n"/>
      <c r="E35" s="136" t="n">
        <v>30</v>
      </c>
      <c r="F35" s="145" t="n">
        <v>30</v>
      </c>
      <c r="G35" s="137" t="n"/>
      <c r="H35" s="154" t="n"/>
      <c r="I35" s="146">
        <f>IF(G34="",I33+C34,I33+C34+G34)</f>
        <v/>
      </c>
      <c r="J35" s="140" t="n"/>
    </row>
    <row r="36" ht="19.5" customHeight="1" s="89">
      <c r="A36" s="103" t="inlineStr">
        <is>
          <t>05 Sep 2026</t>
        </is>
      </c>
      <c r="B36" s="101" t="inlineStr">
        <is>
          <t>Douchie</t>
        </is>
      </c>
      <c r="C36" s="134" t="n">
        <v>0</v>
      </c>
      <c r="D36" s="135" t="n"/>
      <c r="E36" s="136" t="n">
        <v>30</v>
      </c>
      <c r="F36" s="134" t="n">
        <v>30</v>
      </c>
      <c r="G36" s="137" t="n"/>
      <c r="H36" s="154" t="n"/>
      <c r="I36" s="139">
        <f>IF(G35="",I34+C35,I34+C35+G35)</f>
        <v/>
      </c>
      <c r="J36" s="140" t="n"/>
    </row>
    <row r="37" ht="19.5" customHeight="1" s="89">
      <c r="A37" s="99" t="inlineStr">
        <is>
          <t>12 Sep 2026</t>
        </is>
      </c>
      <c r="B37" s="95" t="inlineStr">
        <is>
          <t>Charlie</t>
        </is>
      </c>
      <c r="C37" s="141" t="n">
        <v>0</v>
      </c>
      <c r="D37" s="135" t="n"/>
      <c r="E37" s="136" t="n">
        <v>30</v>
      </c>
      <c r="F37" s="141" t="n">
        <v>30</v>
      </c>
      <c r="G37" s="137" t="n"/>
      <c r="H37" s="154" t="n"/>
      <c r="I37" s="142">
        <f>IF(G36="",I35+C36,I35+C36+G36)</f>
        <v/>
      </c>
      <c r="J37" s="140" t="n"/>
    </row>
    <row r="38" ht="19.5" customHeight="1" s="89">
      <c r="A38" s="123" t="inlineStr">
        <is>
          <t>19 Sep 2026</t>
        </is>
      </c>
      <c r="B38" s="109" t="inlineStr">
        <is>
          <t>Shannon</t>
        </is>
      </c>
      <c r="C38" s="143" t="n">
        <v>0</v>
      </c>
      <c r="D38" s="135" t="n"/>
      <c r="E38" s="136" t="n">
        <v>30</v>
      </c>
      <c r="F38" s="143" t="n">
        <v>30</v>
      </c>
      <c r="G38" s="137" t="n"/>
      <c r="H38" s="154" t="n"/>
      <c r="I38" s="144">
        <f>IF(G37="",I36+C37,I36+C37+G37)</f>
        <v/>
      </c>
      <c r="J38" s="140" t="n"/>
    </row>
    <row r="39" ht="19.5" customHeight="1" s="89">
      <c r="A39" s="120" t="inlineStr">
        <is>
          <t>26 Sep 2026</t>
        </is>
      </c>
      <c r="B39" s="104" t="inlineStr">
        <is>
          <t>Nic</t>
        </is>
      </c>
      <c r="C39" s="145" t="n">
        <v>0</v>
      </c>
      <c r="D39" s="135" t="n"/>
      <c r="E39" s="136" t="n">
        <v>30</v>
      </c>
      <c r="F39" s="145" t="n">
        <v>30</v>
      </c>
      <c r="G39" s="137" t="n"/>
      <c r="H39" s="154" t="n"/>
      <c r="I39" s="146">
        <f>IF(G38="",I37+C38,I37+C38+G38)</f>
        <v/>
      </c>
      <c r="J39" s="140" t="n"/>
    </row>
    <row r="40" ht="19.5" customHeight="1" s="89">
      <c r="A40" s="103" t="inlineStr">
        <is>
          <t>03 Oct 2026</t>
        </is>
      </c>
      <c r="B40" s="101" t="inlineStr">
        <is>
          <t>Douchie</t>
        </is>
      </c>
      <c r="C40" s="134" t="n">
        <v>0</v>
      </c>
      <c r="D40" s="135" t="n"/>
      <c r="E40" s="136" t="n">
        <v>30</v>
      </c>
      <c r="F40" s="134" t="n">
        <v>30</v>
      </c>
      <c r="G40" s="137" t="n"/>
      <c r="H40" s="154" t="n"/>
      <c r="I40" s="139">
        <f>IF(G39="",I38+C39,I38+C39+G39)</f>
        <v/>
      </c>
      <c r="J40" s="140" t="n"/>
    </row>
    <row r="41" ht="19.5" customHeight="1" s="89">
      <c r="A41" s="99" t="inlineStr">
        <is>
          <t>10 Oct 2026</t>
        </is>
      </c>
      <c r="B41" s="95" t="inlineStr">
        <is>
          <t>Charlie</t>
        </is>
      </c>
      <c r="C41" s="141" t="n">
        <v>0</v>
      </c>
      <c r="D41" s="135" t="n"/>
      <c r="E41" s="136" t="n">
        <v>30</v>
      </c>
      <c r="F41" s="141" t="n">
        <v>30</v>
      </c>
      <c r="G41" s="137" t="n"/>
      <c r="H41" s="154" t="n"/>
      <c r="I41" s="142">
        <f>IF(G40="",I39+C40,I39+C40+G40)</f>
        <v/>
      </c>
      <c r="J41" s="140" t="n"/>
    </row>
    <row r="42" ht="19.5" customHeight="1" s="89">
      <c r="A42" s="123" t="inlineStr">
        <is>
          <t>17 Oct 2026</t>
        </is>
      </c>
      <c r="B42" s="109" t="inlineStr">
        <is>
          <t>Shannon</t>
        </is>
      </c>
      <c r="C42" s="143" t="n">
        <v>0</v>
      </c>
      <c r="D42" s="135" t="n"/>
      <c r="E42" s="136" t="n">
        <v>30</v>
      </c>
      <c r="F42" s="143" t="n">
        <v>30</v>
      </c>
      <c r="G42" s="137" t="n"/>
      <c r="H42" s="154" t="n"/>
      <c r="I42" s="144">
        <f>IF(G41="",I40+C41,I40+C41+G41)</f>
        <v/>
      </c>
      <c r="J42" s="140" t="n"/>
    </row>
    <row r="43" ht="19.5" customHeight="1" s="89">
      <c r="A43" s="120" t="inlineStr">
        <is>
          <t>24 Oct 2026</t>
        </is>
      </c>
      <c r="B43" s="104" t="inlineStr">
        <is>
          <t>Nic</t>
        </is>
      </c>
      <c r="C43" s="145" t="n">
        <v>0</v>
      </c>
      <c r="D43" s="135" t="n"/>
      <c r="E43" s="136" t="n">
        <v>30</v>
      </c>
      <c r="F43" s="145" t="n">
        <v>30</v>
      </c>
      <c r="G43" s="137" t="n"/>
      <c r="H43" s="154" t="n"/>
      <c r="I43" s="146">
        <f>IF(G42="",I41+C42,I41+C42+G42)</f>
        <v/>
      </c>
      <c r="J43" s="140" t="n"/>
    </row>
    <row r="44" ht="19.5" customHeight="1" s="89">
      <c r="A44" s="103" t="inlineStr">
        <is>
          <t>31 Oct 2026</t>
        </is>
      </c>
      <c r="B44" s="101" t="inlineStr">
        <is>
          <t>Douchie</t>
        </is>
      </c>
      <c r="C44" s="134" t="n">
        <v>0</v>
      </c>
      <c r="D44" s="135" t="n"/>
      <c r="E44" s="136" t="n">
        <v>30</v>
      </c>
      <c r="F44" s="134" t="n">
        <v>30</v>
      </c>
      <c r="G44" s="137" t="n"/>
      <c r="H44" s="154" t="n"/>
      <c r="I44" s="139">
        <f>IF(G43="",I42+C43,I42+C43+G43)</f>
        <v/>
      </c>
      <c r="J44" s="140" t="n"/>
    </row>
    <row r="45" ht="19.5" customHeight="1" s="89">
      <c r="A45" s="99" t="inlineStr">
        <is>
          <t>07 Nov 2026</t>
        </is>
      </c>
      <c r="B45" s="95" t="inlineStr">
        <is>
          <t>Charlie</t>
        </is>
      </c>
      <c r="C45" s="141" t="n">
        <v>0</v>
      </c>
      <c r="D45" s="135" t="n"/>
      <c r="E45" s="136" t="n">
        <v>30</v>
      </c>
      <c r="F45" s="141" t="n">
        <v>30</v>
      </c>
      <c r="G45" s="137" t="n"/>
      <c r="H45" s="154" t="n"/>
      <c r="I45" s="142">
        <f>IF(G44="",I43+C44,I43+C44+G44)</f>
        <v/>
      </c>
      <c r="J45" s="140" t="n"/>
    </row>
    <row r="46" ht="19.5" customHeight="1" s="89">
      <c r="A46" s="123" t="inlineStr">
        <is>
          <t>14 Nov 2026</t>
        </is>
      </c>
      <c r="B46" s="109" t="inlineStr">
        <is>
          <t>Shannon</t>
        </is>
      </c>
      <c r="C46" s="143" t="n">
        <v>0</v>
      </c>
      <c r="D46" s="135" t="n"/>
      <c r="E46" s="136" t="n">
        <v>30</v>
      </c>
      <c r="F46" s="143" t="n">
        <v>30</v>
      </c>
      <c r="G46" s="137" t="n"/>
      <c r="H46" s="154" t="n"/>
      <c r="I46" s="144">
        <f>IF(G45="",I44+C45,I44+C45+G45)</f>
        <v/>
      </c>
      <c r="J46" s="140" t="n"/>
    </row>
    <row r="47" ht="19.5" customHeight="1" s="89">
      <c r="A47" s="120" t="inlineStr">
        <is>
          <t>21 Nov 2026</t>
        </is>
      </c>
      <c r="B47" s="104" t="inlineStr">
        <is>
          <t>Nic</t>
        </is>
      </c>
      <c r="C47" s="145" t="n">
        <v>0</v>
      </c>
      <c r="D47" s="135" t="n"/>
      <c r="E47" s="136" t="n">
        <v>30</v>
      </c>
      <c r="F47" s="145" t="n">
        <v>30</v>
      </c>
      <c r="G47" s="137" t="n"/>
      <c r="H47" s="154" t="n"/>
      <c r="I47" s="146">
        <f>IF(G46="",I45+C46,I45+C46+G46)</f>
        <v/>
      </c>
      <c r="J47" s="140" t="n"/>
    </row>
    <row r="48" ht="19.5" customHeight="1" s="89">
      <c r="A48" s="103" t="inlineStr">
        <is>
          <t>28 Nov 2026</t>
        </is>
      </c>
      <c r="B48" s="101" t="inlineStr">
        <is>
          <t>Douchie</t>
        </is>
      </c>
      <c r="C48" s="134" t="n">
        <v>0</v>
      </c>
      <c r="D48" s="135" t="n"/>
      <c r="E48" s="136" t="n">
        <v>30</v>
      </c>
      <c r="F48" s="134" t="n">
        <v>30</v>
      </c>
      <c r="G48" s="137" t="n"/>
      <c r="H48" s="154" t="n"/>
      <c r="I48" s="139">
        <f>IF(G47="",I46+C47,I46+C47+G47)</f>
        <v/>
      </c>
      <c r="J48" s="140" t="n"/>
    </row>
    <row r="49" ht="19.5" customHeight="1" s="89">
      <c r="A49" s="99" t="inlineStr">
        <is>
          <t>05 Dec 2026</t>
        </is>
      </c>
      <c r="B49" s="95" t="inlineStr">
        <is>
          <t>Charlie</t>
        </is>
      </c>
      <c r="C49" s="141" t="n">
        <v>0</v>
      </c>
      <c r="D49" s="135" t="n"/>
      <c r="E49" s="136" t="n">
        <v>30</v>
      </c>
      <c r="F49" s="141" t="n">
        <v>30</v>
      </c>
      <c r="G49" s="137" t="n"/>
      <c r="H49" s="154" t="n"/>
      <c r="I49" s="142">
        <f>IF(G48="",I47+C48,I47+C48+G48)</f>
        <v/>
      </c>
      <c r="J49" s="140" t="n"/>
    </row>
    <row r="50" ht="19.5" customHeight="1" s="89">
      <c r="A50" s="123" t="inlineStr">
        <is>
          <t>12 Dec 2026</t>
        </is>
      </c>
      <c r="B50" s="109" t="inlineStr">
        <is>
          <t>Shannon</t>
        </is>
      </c>
      <c r="C50" s="143" t="n">
        <v>0</v>
      </c>
      <c r="D50" s="135" t="n"/>
      <c r="E50" s="136" t="n">
        <v>30</v>
      </c>
      <c r="F50" s="143" t="n">
        <v>30</v>
      </c>
      <c r="G50" s="137" t="n"/>
      <c r="H50" s="154" t="n"/>
      <c r="I50" s="144">
        <f>IF(G49="",I48+C49,I48+C49+G49)</f>
        <v/>
      </c>
      <c r="J50" s="140" t="n"/>
    </row>
    <row r="51">
      <c r="A51" s="120" t="inlineStr">
        <is>
          <t>19 Dec 2026</t>
        </is>
      </c>
      <c r="B51" s="104" t="inlineStr">
        <is>
          <t>Nic</t>
        </is>
      </c>
      <c r="C51" s="145" t="n">
        <v>0</v>
      </c>
      <c r="D51" s="135" t="n"/>
      <c r="E51" s="136" t="n">
        <v>30</v>
      </c>
      <c r="F51" s="145" t="n">
        <v>30</v>
      </c>
      <c r="G51" s="137" t="n"/>
      <c r="H51" s="154" t="n"/>
      <c r="I51" s="146">
        <f>IF(G50="",I49+C50,I49+C50+G50)</f>
        <v/>
      </c>
      <c r="J51" s="140" t="n"/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5" customWidth="1" style="88" min="1" max="1"/>
    <col width="18" customWidth="1" style="88" min="2" max="3"/>
    <col width="20" customWidth="1" style="88" min="4" max="4"/>
    <col width="15" customWidth="1" style="88" min="5" max="5"/>
    <col width="12" customWidth="1" style="88" min="6" max="6"/>
  </cols>
  <sheetData>
    <row r="1" ht="30" customHeight="1" s="89">
      <c r="A1" s="132" t="inlineStr">
        <is>
          <t>PIC 2026 — MEMBER SUMMARY</t>
        </is>
      </c>
    </row>
    <row r="2" ht="24.75" customHeight="1" s="89">
      <c r="A2" s="94" t="inlineStr">
        <is>
          <t>Member</t>
        </is>
      </c>
      <c r="B2" s="94" t="inlineStr">
        <is>
          <t>Weeks as Captain</t>
        </is>
      </c>
      <c r="C2" s="94" t="inlineStr">
        <is>
          <t>Total Staked ($)</t>
        </is>
      </c>
      <c r="D2" s="94" t="inlineStr">
        <is>
          <t>Total Returned ($)</t>
        </is>
      </c>
      <c r="E2" s="94" t="inlineStr">
        <is>
          <t>Net P&amp;L ($)</t>
        </is>
      </c>
      <c r="F2" s="94" t="inlineStr">
        <is>
          <t>Win Rate</t>
        </is>
      </c>
    </row>
    <row r="3" ht="21.75" customHeight="1" s="89">
      <c r="A3" s="101" t="inlineStr">
        <is>
          <t>Douchie</t>
        </is>
      </c>
      <c r="B3" s="103">
        <f>COUNTIF('2026 Tracker'!B3:B50,A3)</f>
        <v/>
      </c>
      <c r="C3" s="155">
        <f>SUMIF('2026 Tracker'!B3:B50,A3,'2026 Tracker'!E3:E50)</f>
        <v/>
      </c>
      <c r="D3" s="128">
        <f>SUMIF('2026 Tracker'!B3:B50,A3,'2026 Tracker'!F3:F50)</f>
        <v/>
      </c>
      <c r="E3" s="156">
        <f>D3-C3</f>
        <v/>
      </c>
      <c r="F3" s="157">
        <f>IFERROR(COUNTIFS('2026 Tracker'!B3:B50,A3,'2026 Tracker'!G3:G50,"Win")/COUNTIFS('2026 Tracker'!B3:B50,A3,'2026 Tracker'!G3:G50,"&lt;&gt;"),"-")</f>
        <v/>
      </c>
    </row>
    <row r="4" ht="21.75" customHeight="1" s="89">
      <c r="A4" s="95" t="inlineStr">
        <is>
          <t>Charlie</t>
        </is>
      </c>
      <c r="B4" s="99">
        <f>COUNTIF('2026 Tracker'!B3:B50,A4)</f>
        <v/>
      </c>
      <c r="C4" s="158">
        <f>SUMIF('2026 Tracker'!B3:B50,A4,'2026 Tracker'!E3:E50)</f>
        <v/>
      </c>
      <c r="D4" s="118">
        <f>SUMIF('2026 Tracker'!B3:B50,A4,'2026 Tracker'!F3:F50)</f>
        <v/>
      </c>
      <c r="E4" s="159">
        <f>D4-C4</f>
        <v/>
      </c>
      <c r="F4" s="160">
        <f>IFERROR(COUNTIFS('2026 Tracker'!B3:B50,A4,'2026 Tracker'!G3:G50,"Win")/COUNTIFS('2026 Tracker'!B3:B50,A4,'2026 Tracker'!G3:G50,"&lt;&gt;"),"-")</f>
        <v/>
      </c>
    </row>
    <row r="5" ht="21.75" customHeight="1" s="89">
      <c r="A5" s="109" t="inlineStr">
        <is>
          <t>Shannon</t>
        </is>
      </c>
      <c r="B5" s="123">
        <f>COUNTIF('2026 Tracker'!B3:B50,A5)</f>
        <v/>
      </c>
      <c r="C5" s="161">
        <f>SUMIF('2026 Tracker'!B3:B50,A5,'2026 Tracker'!E3:E50)</f>
        <v/>
      </c>
      <c r="D5" s="125">
        <f>SUMIF('2026 Tracker'!B3:B50,A5,'2026 Tracker'!F3:F50)</f>
        <v/>
      </c>
      <c r="E5" s="162">
        <f>D5-C5</f>
        <v/>
      </c>
      <c r="F5" s="163">
        <f>IFERROR(COUNTIFS('2026 Tracker'!B3:B50,A5,'2026 Tracker'!G3:G50,"Win")/COUNTIFS('2026 Tracker'!B3:B50,A5,'2026 Tracker'!G3:G50,"&lt;&gt;"),"-")</f>
        <v/>
      </c>
    </row>
    <row r="6" ht="21.75" customHeight="1" s="89">
      <c r="A6" s="104" t="inlineStr">
        <is>
          <t>Nic</t>
        </is>
      </c>
      <c r="B6" s="120">
        <f>COUNTIF('2026 Tracker'!B3:B50,A6)</f>
        <v/>
      </c>
      <c r="C6" s="164">
        <f>SUMIF('2026 Tracker'!B3:B50,A6,'2026 Tracker'!E3:E50)</f>
        <v/>
      </c>
      <c r="D6" s="122">
        <f>SUMIF('2026 Tracker'!B3:B50,A6,'2026 Tracker'!F3:F50)</f>
        <v/>
      </c>
      <c r="E6" s="165">
        <f>D6-C6</f>
        <v/>
      </c>
      <c r="F6" s="166">
        <f>IFERROR(COUNTIFS('2026 Tracker'!B3:B50,A6,'2026 Tracker'!G3:G50,"Win")/COUNTIFS('2026 Tracker'!B3:B50,A6,'2026 Tracker'!G3:G50,"&lt;&gt;"),"-")</f>
        <v/>
      </c>
    </row>
    <row r="7" ht="15" customHeight="1" s="89">
      <c r="A7" s="167" t="inlineStr">
        <is>
          <t>Pool Balance</t>
        </is>
      </c>
      <c r="B7" s="91" t="n"/>
      <c r="C7" s="91" t="n"/>
      <c r="D7" s="91" t="n"/>
      <c r="E7" s="168" t="n"/>
      <c r="F7" s="169">
        <f>'2026 Tracker'!I50</f>
        <v/>
      </c>
    </row>
    <row r="9" ht="18" customHeight="1" s="89">
      <c r="A9" s="170" t="inlineStr">
        <is>
          <t>KEY</t>
        </is>
      </c>
      <c r="B9" s="171" t="inlineStr">
        <is>
          <t>Yellow cells = data to fill in  |  Blue text = hardcoded input  |  Black text = formula</t>
        </is>
      </c>
      <c r="C9" s="91" t="n"/>
      <c r="D9" s="91" t="n"/>
      <c r="E9" s="91" t="n"/>
      <c r="F9" s="91" t="n"/>
    </row>
    <row r="11" ht="15" customHeight="1" s="89">
      <c r="A11" s="172" t="inlineStr">
        <is>
          <t>Opening Balance (30 Dec 2025)</t>
        </is>
      </c>
      <c r="B11" s="91" t="n"/>
      <c r="C11" s="91" t="n"/>
      <c r="D11" s="91" t="n"/>
      <c r="E11" s="168" t="n"/>
      <c r="F11" s="173" t="n">
        <v>5138.97</v>
      </c>
    </row>
    <row r="13" ht="21.75" customHeight="1" s="89">
      <c r="A13" s="174" t="inlineStr">
        <is>
          <t>PRE-PAYMENTS RECEIVED</t>
        </is>
      </c>
      <c r="B13" s="91" t="n"/>
      <c r="C13" s="91" t="n"/>
      <c r="D13" s="91" t="n"/>
      <c r="E13" s="91" t="n"/>
      <c r="F13" s="91" t="n"/>
    </row>
    <row r="14" ht="19.5" customHeight="1" s="89">
      <c r="A14" s="175" t="inlineStr">
        <is>
          <t>Charlie</t>
        </is>
      </c>
      <c r="B14" s="176" t="inlineStr">
        <is>
          <t>Full year savings pre-paid (12 × $30)</t>
        </is>
      </c>
      <c r="C14" s="91" t="n"/>
      <c r="D14" s="91" t="n"/>
      <c r="E14" s="91" t="n"/>
      <c r="F14" s="177" t="n">
        <v>360</v>
      </c>
    </row>
    <row r="15" ht="19.5" customHeight="1" s="89">
      <c r="A15" s="175" t="inlineStr">
        <is>
          <t>Douchie</t>
        </is>
      </c>
      <c r="B15" s="176" t="inlineStr">
        <is>
          <t>Full year savings pre-paid (12 × $30)</t>
        </is>
      </c>
      <c r="C15" s="91" t="n"/>
      <c r="D15" s="91" t="n"/>
      <c r="E15" s="91" t="n"/>
      <c r="F15" s="177" t="n">
        <v>360</v>
      </c>
    </row>
    <row r="16" ht="19.5" customHeight="1" s="89">
      <c r="A16" s="178" t="inlineStr">
        <is>
          <t>Nic</t>
        </is>
      </c>
      <c r="B16" s="176" t="inlineStr">
        <is>
          <t>Partial year savings pre-paid ($280 of $360)</t>
        </is>
      </c>
      <c r="C16" s="91" t="n"/>
      <c r="D16" s="91" t="n"/>
      <c r="E16" s="91" t="n"/>
      <c r="F16" s="177" t="n">
        <v>280</v>
      </c>
    </row>
  </sheetData>
  <mergeCells count="8">
    <mergeCell ref="A13:F13"/>
    <mergeCell ref="A7:E7"/>
    <mergeCell ref="A1:F1"/>
    <mergeCell ref="B16:E16"/>
    <mergeCell ref="A11:E11"/>
    <mergeCell ref="B15:E15"/>
    <mergeCell ref="B9:F9"/>
    <mergeCell ref="B14:E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2026-05-28T23:33:28Z</dcterms:created>
  <dcterms:modified xmlns:dcterms="http://purl.org/dc/terms/" xmlns:xsi="http://www.w3.org/2001/XMLSchema-instance" xsi:type="dcterms:W3CDTF">2026-05-29T05:46:33Z</dcterms:modified>
  <cp:revision>0</cp:revision>
</cp:coreProperties>
</file>