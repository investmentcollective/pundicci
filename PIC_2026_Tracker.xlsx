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" sheetId="1" state="visible" r:id="rId3"/>
    <sheet name="2026 Tracker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<sst xmlns="http://schemas.openxmlformats.org/spreadsheetml/2006/main" count="254" uniqueCount="139">
  <si>
    <t xml:space="preserve">PUNDICCI INVESTMENT COLLECTIVE — MASTER SUMMARY</t>
  </si>
  <si>
    <t xml:space="preserve">COLLECTIVE ACCOUNT BALANCE</t>
  </si>
  <si>
    <t xml:space="preserve">Member</t>
  </si>
  <si>
    <t xml:space="preserve">Annual Total</t>
  </si>
  <si>
    <t xml:space="preserve">Amount Paid</t>
  </si>
  <si>
    <t xml:space="preserve">Outstanding</t>
  </si>
  <si>
    <t xml:space="preserve">Status</t>
  </si>
  <si>
    <t xml:space="preserve">Next Due</t>
  </si>
  <si>
    <t xml:space="preserve">Notes</t>
  </si>
  <si>
    <t xml:space="preserve">Charlie</t>
  </si>
  <si>
    <t xml:space="preserve">✓ PAID IN FULL</t>
  </si>
  <si>
    <t xml:space="preserve">—</t>
  </si>
  <si>
    <t xml:space="preserve">Full year pre-paid</t>
  </si>
  <si>
    <t xml:space="preserve">Douchie</t>
  </si>
  <si>
    <t xml:space="preserve">Nic</t>
  </si>
  <si>
    <t xml:space="preserve">⚠ PARTIAL</t>
  </si>
  <si>
    <t xml:space="preserve">TBD</t>
  </si>
  <si>
    <t xml:space="preserve">$80 remaining outstanding</t>
  </si>
  <si>
    <t xml:space="preserve">Shannon</t>
  </si>
  <si>
    <t xml:space="preserve">✗ OVERDUE</t>
  </si>
  <si>
    <t xml:space="preserve">Immediate</t>
  </si>
  <si>
    <t xml:space="preserve">$120 owed for 4 past weeks</t>
  </si>
  <si>
    <t xml:space="preserve">TOTALS</t>
  </si>
  <si>
    <t xml:space="preserve">BET PERFORMANCE SUMMARY</t>
  </si>
  <si>
    <t xml:space="preserve">Bets</t>
  </si>
  <si>
    <t xml:space="preserve">Wins</t>
  </si>
  <si>
    <t xml:space="preserve">Losses</t>
  </si>
  <si>
    <t xml:space="preserve">Win Rate</t>
  </si>
  <si>
    <t xml:space="preserve">Total Return</t>
  </si>
  <si>
    <t xml:space="preserve">Net P&amp;L</t>
  </si>
  <si>
    <t xml:space="preserve">Account balance as at 07 Aug 2026: $7,097.51  ·  Net P&amp;L = Bet Return minus Stake (stake from captain's own pocket)</t>
  </si>
  <si>
    <t xml:space="preserve">PUNDICCI INVESTMENT COLLECTIVE — 2026 TRACKER</t>
  </si>
  <si>
    <t xml:space="preserve">Date</t>
  </si>
  <si>
    <t xml:space="preserve">Captain</t>
  </si>
  <si>
    <t xml:space="preserve">Savings ($)</t>
  </si>
  <si>
    <t xml:space="preserve">Bet Description</t>
  </si>
  <si>
    <t xml:space="preserve">Odds</t>
  </si>
  <si>
    <t xml:space="preserve">Bet Stake ($)</t>
  </si>
  <si>
    <t xml:space="preserve">Bet Return ($)</t>
  </si>
  <si>
    <t xml:space="preserve">Win/Loss</t>
  </si>
  <si>
    <t xml:space="preserve">Pool Balance ($)</t>
  </si>
  <si>
    <t xml:space="preserve">24 Jan 2026</t>
  </si>
  <si>
    <t xml:space="preserve">Bet Lost</t>
  </si>
  <si>
    <t xml:space="preserve">Loss</t>
  </si>
  <si>
    <t xml:space="preserve">31 Jan 2026</t>
  </si>
  <si>
    <t xml:space="preserve">07 Feb 2026</t>
  </si>
  <si>
    <t xml:space="preserve">14 Feb 2026</t>
  </si>
  <si>
    <t xml:space="preserve">21 Feb 2026</t>
  </si>
  <si>
    <t xml:space="preserve">Flemington Quaddie</t>
  </si>
  <si>
    <t xml:space="preserve">Win</t>
  </si>
  <si>
    <t xml:space="preserve">28 Feb 2026</t>
  </si>
  <si>
    <t xml:space="preserve">Flemington Race 8 - Ahha Ahha</t>
  </si>
  <si>
    <t xml:space="preserve">07 Mar 2026</t>
  </si>
  <si>
    <t xml:space="preserve">14 Mar 2026</t>
  </si>
  <si>
    <t xml:space="preserve">Multi - Melbourne Storm, Penrith Panthers, Queensland Reds</t>
  </si>
  <si>
    <t xml:space="preserve">21 Mar 2026</t>
  </si>
  <si>
    <t xml:space="preserve">28 Mar 2026</t>
  </si>
  <si>
    <t xml:space="preserve">04 Apr 2026</t>
  </si>
  <si>
    <t xml:space="preserve">Randwick Race 7 - Joliestar</t>
  </si>
  <si>
    <t xml:space="preserve">11 Apr 2026</t>
  </si>
  <si>
    <t xml:space="preserve">No Bet</t>
  </si>
  <si>
    <t xml:space="preserve">18 Apr 2026</t>
  </si>
  <si>
    <t xml:space="preserve">25 Apr 2026</t>
  </si>
  <si>
    <t xml:space="preserve">(1) Morphetville R1 - Staand Deel @2.35 $25 stake | (2) Multi - Lions 40+, Cats 40+, St Kilda 1-39, Swans H2H $5 stake</t>
  </si>
  <si>
    <t xml:space="preserve">2.35 / Multi</t>
  </si>
  <si>
    <t xml:space="preserve">02 May 2026</t>
  </si>
  <si>
    <t xml:space="preserve">09 May 2026</t>
  </si>
  <si>
    <t xml:space="preserve">16 May 2026</t>
  </si>
  <si>
    <t xml:space="preserve">23 May 2026</t>
  </si>
  <si>
    <t xml:space="preserve">$20 cash bet lost; $10 SGM on row 21 (settled loss)</t>
  </si>
  <si>
    <t xml:space="preserve">SGM — Carlton v Geelong Cats (9-leg) · Fri 29 May 19:40</t>
  </si>
  <si>
    <t xml:space="preserve">SGM lost — Carlton v Geelong Cats 29 May</t>
  </si>
  <si>
    <t xml:space="preserve">30 May 2026</t>
  </si>
  <si>
    <t xml:space="preserve">Eagle Farm Race 6 — Brave Monarch</t>
  </si>
  <si>
    <t xml:space="preserve">06 Jun 2026</t>
  </si>
  <si>
    <t xml:space="preserve">Sports Multi — Crusaders, Broncos, Panthers, Bulldogs, QLD State of Origin</t>
  </si>
  <si>
    <t xml:space="preserve">13 Jun 2026</t>
  </si>
  <si>
    <t xml:space="preserve">Various Horses</t>
  </si>
  <si>
    <t xml:space="preserve">20 Jun 2026</t>
  </si>
  <si>
    <t xml:space="preserve">Flemington Race 3 — Vegas Jack (Place)</t>
  </si>
  <si>
    <t xml:space="preserve">27 Jun 2026</t>
  </si>
  <si>
    <t xml:space="preserve">State of Origin SGM — QLD v NSW</t>
  </si>
  <si>
    <t xml:space="preserve">20.25</t>
  </si>
  <si>
    <t xml:space="preserve">England v DR Congo SGM</t>
  </si>
  <si>
    <t xml:space="preserve">6.20</t>
  </si>
  <si>
    <t xml:space="preserve">2nd bet — double captain week</t>
  </si>
  <si>
    <t xml:space="preserve">04 Jul 2026</t>
  </si>
  <si>
    <t xml:space="preserve">Rugby Union 4-leg Multi — New Zealand, Ireland, South Africa, Queensland</t>
  </si>
  <si>
    <t xml:space="preserve">3.41</t>
  </si>
  <si>
    <t xml:space="preserve">11 Jul 2026</t>
  </si>
  <si>
    <t xml:space="preserve">Caulfield R5 — Amleto (single)</t>
  </si>
  <si>
    <t xml:space="preserve">2.70</t>
  </si>
  <si>
    <t xml:space="preserve">Doomben 4-leg multi</t>
  </si>
  <si>
    <t xml:space="preserve">4.88</t>
  </si>
  <si>
    <t xml:space="preserve">2nd bet same week — $10 stake</t>
  </si>
  <si>
    <t xml:space="preserve">18 Jul 2026</t>
  </si>
  <si>
    <t xml:space="preserve">AFL SGM — WCE v Brisbane (6-leg)</t>
  </si>
  <si>
    <t xml:space="preserve">3.95</t>
  </si>
  <si>
    <t xml:space="preserve">25 Jul 2026</t>
  </si>
  <si>
    <t xml:space="preserve">Horses multi</t>
  </si>
  <si>
    <t xml:space="preserve">26 Jul 2026</t>
  </si>
  <si>
    <t xml:space="preserve">Caulfield R8 — Amletto (bonus collective bet)</t>
  </si>
  <si>
    <t xml:space="preserve">5.28</t>
  </si>
  <si>
    <t xml:space="preserve">Bonus collective bet — not a scheduled captain week</t>
  </si>
  <si>
    <t xml:space="preserve">01 Aug 2026</t>
  </si>
  <si>
    <t xml:space="preserve">Missed captain week — stake owed to collective</t>
  </si>
  <si>
    <t xml:space="preserve">08 Aug 2026</t>
  </si>
  <si>
    <t xml:space="preserve">Pending</t>
  </si>
  <si>
    <t xml:space="preserve">15 Aug 2026</t>
  </si>
  <si>
    <t xml:space="preserve">22 Aug 2026</t>
  </si>
  <si>
    <t xml:space="preserve">29 Aug 2026</t>
  </si>
  <si>
    <t xml:space="preserve">05 Sep 2026</t>
  </si>
  <si>
    <t xml:space="preserve">12 Sep 2026</t>
  </si>
  <si>
    <t xml:space="preserve">19 Sep 2026</t>
  </si>
  <si>
    <t xml:space="preserve">26 Sep 2026</t>
  </si>
  <si>
    <t xml:space="preserve">03 Oct 2026</t>
  </si>
  <si>
    <t xml:space="preserve">10 Oct 2026</t>
  </si>
  <si>
    <t xml:space="preserve">17 Oct 2026</t>
  </si>
  <si>
    <t xml:space="preserve">24 Oct 2026</t>
  </si>
  <si>
    <t xml:space="preserve">31 Oct 2026</t>
  </si>
  <si>
    <t xml:space="preserve">07 Nov 2026</t>
  </si>
  <si>
    <t xml:space="preserve">14 Nov 2026</t>
  </si>
  <si>
    <t xml:space="preserve">21 Nov 2026</t>
  </si>
  <si>
    <t xml:space="preserve">28 Nov 2026</t>
  </si>
  <si>
    <t xml:space="preserve">05 Dec 2026</t>
  </si>
  <si>
    <t xml:space="preserve">12 Dec 2026</t>
  </si>
  <si>
    <t xml:space="preserve">19 Dec 2026</t>
  </si>
  <si>
    <t xml:space="preserve">PIC 2026 — MEMBER SUMMARY</t>
  </si>
  <si>
    <t xml:space="preserve">Weeks as Captain</t>
  </si>
  <si>
    <t xml:space="preserve">Total Staked ($)</t>
  </si>
  <si>
    <t xml:space="preserve">Total Returned ($)</t>
  </si>
  <si>
    <t xml:space="preserve">Net P&amp;L ($)</t>
  </si>
  <si>
    <t xml:space="preserve">Pool Balance</t>
  </si>
  <si>
    <t xml:space="preserve">KEY</t>
  </si>
  <si>
    <t xml:space="preserve">Yellow cells = data to fill in  |  Blue text = hardcoded input  |  Black text = formula</t>
  </si>
  <si>
    <t xml:space="preserve">Opening Balance (30 Dec 2025)</t>
  </si>
  <si>
    <t xml:space="preserve">PRE-PAYMENTS RECEIVED</t>
  </si>
  <si>
    <t xml:space="preserve">Full year savings pre-paid (12 × $30)</t>
  </si>
  <si>
    <t xml:space="preserve">Partial year savings pre-paid ($280 of $360)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</si>
</sst>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%"/>
    <numFmt numFmtId="167" formatCode="\$#,##0.00;&quot;($&quot;#,##0.00\);\$0.00"/>
    <numFmt numFmtId="168" formatCode="\$#,##0"/>
    <numFmt numFmtId="169" formatCode="0.00"/>
    <numFmt numFmtId="170" formatCode="\$#,##0.00;&quot;($&quot;#,##0.00\);\-"/>
    <numFmt numFmtId="171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EA05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D23232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D1B2A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1B2A3B"/>
      </patternFill>
    </fill>
    <fill>
      <patternFill patternType="solid">
        <fgColor rgb="FF1B2A3B"/>
        <bgColor rgb="FF0D1B2A"/>
      </patternFill>
    </fill>
    <fill>
      <patternFill patternType="solid">
        <fgColor rgb="FFD5F5E3"/>
        <bgColor rgb="FFE6F4EA"/>
      </patternFill>
    </fill>
    <fill>
      <patternFill patternType="solid">
        <fgColor rgb="FFE6F4EA"/>
        <bgColor rgb="FFE8EDF2"/>
      </patternFill>
    </fill>
    <fill>
      <patternFill patternType="solid">
        <fgColor rgb="FFF2F4F7"/>
        <bgColor rgb="FFF2F4F6"/>
      </patternFill>
    </fill>
    <fill>
      <patternFill patternType="solid">
        <fgColor rgb="FFD6E4F0"/>
        <bgColor rgb="FFE8EDF2"/>
      </patternFill>
    </fill>
    <fill>
      <patternFill patternType="solid">
        <fgColor rgb="FFE8DAEF"/>
        <bgColor rgb="FFD6E4F0"/>
      </patternFill>
    </fill>
    <fill>
      <patternFill patternType="solid">
        <fgColor rgb="FFFEF3C7"/>
        <bgColor rgb="FFFFF9C4"/>
      </patternFill>
    </fill>
    <fill>
      <patternFill patternType="solid">
        <fgColor rgb="FFFAD7A0"/>
        <bgColor rgb="FFFEE2E2"/>
      </patternFill>
    </fill>
    <fill>
      <patternFill patternType="solid">
        <fgColor rgb="FFFEE2E2"/>
        <bgColor rgb="FFFDECEA"/>
      </patternFill>
    </fill>
    <fill>
      <patternFill patternType="solid">
        <fgColor rgb="FFFFF9C4"/>
        <bgColor rgb="FFFEF3C7"/>
      </patternFill>
    </fill>
    <fill>
      <patternFill patternType="solid">
        <fgColor rgb="FFFDECEA"/>
        <bgColor rgb="FFFEE2E2"/>
      </patternFill>
    </fill>
    <fill>
      <patternFill patternType="solid">
        <fgColor rgb="FFF2F4F6"/>
        <bgColor rgb="FFF2F4F7"/>
      </patternFill>
    </fill>
    <fill>
      <patternFill patternType="solid">
        <fgColor rgb="FFE8EDF2"/>
        <bgColor rgb="FFE6F4EA"/>
      </patternFill>
    </fill>
    <fill>
      <patternFill patternType="solid">
        <fgColor rgb="FF2E4057"/>
        <bgColor rgb="FF1B2A3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5CDD6"/>
      </left>
      <right/>
      <top style="thin">
        <color rgb="FFC5CDD6"/>
      </top>
      <bottom style="thin">
        <color rgb="FFC5CDD6"/>
      </bottom>
      <diagonal/>
    </border>
    <border diagonalUp="false" diagonalDown="false">
      <left style="thin">
        <color rgb="FFC5CDD6"/>
      </left>
      <right style="thin">
        <color rgb="FFC5CDD6"/>
      </right>
      <top style="thin">
        <color rgb="FFC5CDD6"/>
      </top>
      <bottom style="thin">
        <color rgb="FFC5C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2F4F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6"/>
      <rgbColor rgb="FF888888"/>
      <rgbColor rgb="FF9999FF"/>
      <rgbColor rgb="FFD23232"/>
      <rgbColor rgb="FFFFF9C4"/>
      <rgbColor rgb="FFE6F4EA"/>
      <rgbColor rgb="FF660066"/>
      <rgbColor rgb="FFFF8080"/>
      <rgbColor rgb="FF0066CC"/>
      <rgbColor rgb="FFE8DAEF"/>
      <rgbColor rgb="FF000080"/>
      <rgbColor rgb="FFFF00FF"/>
      <rgbColor rgb="FFF2F4F7"/>
      <rgbColor rgb="FF00FFFF"/>
      <rgbColor rgb="FF800080"/>
      <rgbColor rgb="FF800000"/>
      <rgbColor rgb="FF008080"/>
      <rgbColor rgb="FF0000FF"/>
      <rgbColor rgb="FF00CCFF"/>
      <rgbColor rgb="FFE8EDF2"/>
      <rgbColor rgb="FFD5F5E3"/>
      <rgbColor rgb="FFFEF3C7"/>
      <rgbColor rgb="FFD6E4F0"/>
      <rgbColor rgb="FFFEE2E2"/>
      <rgbColor rgb="FFFDECEA"/>
      <rgbColor rgb="FFFAD7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A050"/>
      <rgbColor rgb="FF0D1B2A"/>
      <rgbColor rgb="FF333300"/>
      <rgbColor rgb="FFB45309"/>
      <rgbColor rgb="FF993366"/>
      <rgbColor rgb="FF2E4057"/>
      <rgbColor rgb="FF1B2A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6"/>
    <col collapsed="false" customWidth="true" hidden="false" outlineLevel="0" max="6" min="6" style="1" width="20"/>
    <col collapsed="false" customWidth="true" hidden="false" outlineLevel="0" max="7" min="7" style="1" width="28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7.5" hidden="false" customHeight="true" outlineLevel="0" collapsed="false"/>
    <row r="3" customFormat="false" ht="24" hidden="false" customHeight="true" outlineLevel="0" collapsed="false">
      <c r="A3" s="3" t="s">
        <v>1</v>
      </c>
      <c r="B3" s="3"/>
      <c r="C3" s="3"/>
      <c r="D3" s="4" t="n">
        <f aca="false">'2026 Tracker'!I54</f>
        <v>7098.91</v>
      </c>
      <c r="E3" s="4"/>
      <c r="F3" s="4"/>
      <c r="G3" s="4"/>
    </row>
    <row r="4" customFormat="false" ht="7.5" hidden="false" customHeight="true" outlineLevel="0" collapsed="false"/>
    <row r="5" customFormat="false" ht="24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</row>
    <row r="6" customFormat="false" ht="21.75" hidden="false" customHeight="true" outlineLevel="0" collapsed="false">
      <c r="A6" s="6" t="s">
        <v>9</v>
      </c>
      <c r="B6" s="7" t="n">
        <v>360</v>
      </c>
      <c r="C6" s="7" t="n">
        <v>360</v>
      </c>
      <c r="D6" s="8" t="n">
        <v>0</v>
      </c>
      <c r="E6" s="9" t="s">
        <v>10</v>
      </c>
      <c r="F6" s="10" t="s">
        <v>11</v>
      </c>
      <c r="G6" s="11" t="s">
        <v>12</v>
      </c>
    </row>
    <row r="7" customFormat="false" ht="21.75" hidden="false" customHeight="true" outlineLevel="0" collapsed="false">
      <c r="A7" s="12" t="s">
        <v>13</v>
      </c>
      <c r="B7" s="13" t="n">
        <v>360</v>
      </c>
      <c r="C7" s="13" t="n">
        <v>360</v>
      </c>
      <c r="D7" s="8" t="n">
        <v>0</v>
      </c>
      <c r="E7" s="9" t="s">
        <v>10</v>
      </c>
      <c r="F7" s="14" t="s">
        <v>11</v>
      </c>
      <c r="G7" s="11" t="s">
        <v>12</v>
      </c>
    </row>
    <row r="8" customFormat="false" ht="21.75" hidden="false" customHeight="true" outlineLevel="0" collapsed="false">
      <c r="A8" s="15" t="s">
        <v>14</v>
      </c>
      <c r="B8" s="16" t="n">
        <v>360</v>
      </c>
      <c r="C8" s="16" t="n">
        <v>280</v>
      </c>
      <c r="D8" s="17" t="n">
        <v>80</v>
      </c>
      <c r="E8" s="18" t="s">
        <v>15</v>
      </c>
      <c r="F8" s="19" t="s">
        <v>16</v>
      </c>
      <c r="G8" s="11" t="s">
        <v>17</v>
      </c>
    </row>
    <row r="9" customFormat="false" ht="21.75" hidden="false" customHeight="true" outlineLevel="0" collapsed="false">
      <c r="A9" s="20" t="s">
        <v>18</v>
      </c>
      <c r="B9" s="21" t="n">
        <v>360</v>
      </c>
      <c r="C9" s="21" t="n">
        <v>0</v>
      </c>
      <c r="D9" s="22" t="n">
        <v>360</v>
      </c>
      <c r="E9" s="23" t="s">
        <v>19</v>
      </c>
      <c r="F9" s="24" t="s">
        <v>20</v>
      </c>
      <c r="G9" s="11" t="s">
        <v>21</v>
      </c>
    </row>
    <row r="10" customFormat="false" ht="24" hidden="false" customHeight="true" outlineLevel="0" collapsed="false">
      <c r="A10" s="25" t="s">
        <v>22</v>
      </c>
      <c r="B10" s="26" t="n">
        <v>1440</v>
      </c>
      <c r="C10" s="26" t="n">
        <v>1000</v>
      </c>
      <c r="D10" s="22" t="n">
        <v>440</v>
      </c>
      <c r="E10" s="27"/>
      <c r="F10" s="27"/>
      <c r="G10" s="27"/>
    </row>
    <row r="11" customFormat="false" ht="7.5" hidden="false" customHeight="true" outlineLevel="0" collapsed="false"/>
    <row r="12" customFormat="false" ht="24" hidden="false" customHeight="true" outlineLevel="0" collapsed="false">
      <c r="A12" s="3" t="s">
        <v>23</v>
      </c>
      <c r="B12" s="3"/>
      <c r="C12" s="3"/>
      <c r="D12" s="3"/>
      <c r="E12" s="3"/>
      <c r="F12" s="3"/>
      <c r="G12" s="3"/>
    </row>
    <row r="13" customFormat="false" ht="21.75" hidden="false" customHeight="true" outlineLevel="0" collapsed="false">
      <c r="A13" s="5" t="s">
        <v>2</v>
      </c>
      <c r="B13" s="5" t="s">
        <v>24</v>
      </c>
      <c r="C13" s="5" t="s">
        <v>25</v>
      </c>
      <c r="D13" s="5" t="s">
        <v>26</v>
      </c>
      <c r="E13" s="5" t="s">
        <v>27</v>
      </c>
      <c r="F13" s="5" t="s">
        <v>28</v>
      </c>
      <c r="G13" s="5" t="s">
        <v>29</v>
      </c>
    </row>
    <row r="14" customFormat="false" ht="21.75" hidden="false" customHeight="true" outlineLevel="0" collapsed="false">
      <c r="A14" s="6" t="s">
        <v>9</v>
      </c>
      <c r="B14" s="10" t="n">
        <v>8</v>
      </c>
      <c r="C14" s="10" t="n">
        <v>4</v>
      </c>
      <c r="D14" s="10" t="n">
        <v>4</v>
      </c>
      <c r="E14" s="28" t="n">
        <v>0.5</v>
      </c>
      <c r="F14" s="29" t="n">
        <v>480.95</v>
      </c>
      <c r="G14" s="30" t="n">
        <v>270.95</v>
      </c>
    </row>
    <row r="15" customFormat="false" ht="21.75" hidden="false" customHeight="true" outlineLevel="0" collapsed="false">
      <c r="A15" s="15" t="s">
        <v>14</v>
      </c>
      <c r="B15" s="31" t="n">
        <v>4</v>
      </c>
      <c r="C15" s="31" t="n">
        <v>1</v>
      </c>
      <c r="D15" s="31" t="n">
        <v>3</v>
      </c>
      <c r="E15" s="32" t="n">
        <v>0.25</v>
      </c>
      <c r="F15" s="33" t="n">
        <v>71.25</v>
      </c>
      <c r="G15" s="30" t="n">
        <v>-48.75</v>
      </c>
    </row>
    <row r="16" customFormat="false" ht="21.75" hidden="false" customHeight="true" outlineLevel="0" collapsed="false">
      <c r="A16" s="20" t="s">
        <v>18</v>
      </c>
      <c r="B16" s="34" t="n">
        <v>8</v>
      </c>
      <c r="C16" s="34" t="n">
        <v>1</v>
      </c>
      <c r="D16" s="34" t="n">
        <v>7</v>
      </c>
      <c r="E16" s="35" t="n">
        <v>0.125</v>
      </c>
      <c r="F16" s="36" t="n">
        <v>120</v>
      </c>
      <c r="G16" s="37" t="n">
        <v>-120</v>
      </c>
    </row>
    <row r="17" customFormat="false" ht="21.75" hidden="false" customHeight="true" outlineLevel="0" collapsed="false">
      <c r="A17" s="12" t="s">
        <v>13</v>
      </c>
      <c r="B17" s="14" t="n">
        <v>9</v>
      </c>
      <c r="C17" s="14" t="n">
        <v>2</v>
      </c>
      <c r="D17" s="14" t="n">
        <v>7</v>
      </c>
      <c r="E17" s="38" t="n">
        <v>0.2222</v>
      </c>
      <c r="F17" s="39" t="n">
        <v>287.74</v>
      </c>
      <c r="G17" s="40" t="n">
        <v>37.74</v>
      </c>
    </row>
    <row r="18" customFormat="false" ht="24" hidden="false" customHeight="true" outlineLevel="0" collapsed="false">
      <c r="A18" s="25" t="s">
        <v>22</v>
      </c>
      <c r="B18" s="25" t="n">
        <v>29</v>
      </c>
      <c r="C18" s="25" t="n">
        <v>8</v>
      </c>
      <c r="D18" s="25" t="n">
        <v>21</v>
      </c>
      <c r="E18" s="41" t="n">
        <v>0.2759</v>
      </c>
      <c r="F18" s="26" t="n">
        <v>959.94</v>
      </c>
      <c r="G18" s="8" t="n">
        <v>139.94</v>
      </c>
    </row>
    <row r="19" customFormat="false" ht="7.5" hidden="false" customHeight="true" outlineLevel="0" collapsed="false"/>
    <row r="20" customFormat="false" ht="18" hidden="false" customHeight="true" outlineLevel="0" collapsed="false">
      <c r="A20" s="42" t="s">
        <v>30</v>
      </c>
      <c r="B20" s="42"/>
      <c r="C20" s="42"/>
      <c r="D20" s="42"/>
      <c r="E20" s="42"/>
      <c r="F20" s="42"/>
      <c r="G20" s="42"/>
    </row>
  </sheetData>
  <mergeCells count="5">
    <mergeCell ref="A1:G1"/>
    <mergeCell ref="A3:C3"/>
    <mergeCell ref="D3:G3"/>
    <mergeCell ref="A12:G12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30"/>
    <col collapsed="false" customWidth="true" hidden="false" outlineLevel="0" max="8" min="5" style="1" width="8"/>
    <col collapsed="false" customWidth="true" hidden="false" outlineLevel="0" max="9" min="9" style="1" width="18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43" t="s">
        <v>31</v>
      </c>
      <c r="B1" s="43"/>
      <c r="C1" s="43"/>
      <c r="D1" s="43"/>
      <c r="E1" s="43"/>
      <c r="F1" s="43"/>
      <c r="G1" s="43"/>
      <c r="H1" s="43"/>
      <c r="I1" s="43"/>
      <c r="J1" s="43"/>
    </row>
    <row r="2" customFormat="false" ht="27.75" hidden="false" customHeight="true" outlineLevel="0" collapsed="false">
      <c r="A2" s="44" t="s">
        <v>32</v>
      </c>
      <c r="B2" s="44" t="s">
        <v>33</v>
      </c>
      <c r="C2" s="44" t="s">
        <v>34</v>
      </c>
      <c r="D2" s="44" t="s">
        <v>35</v>
      </c>
      <c r="E2" s="44" t="s">
        <v>36</v>
      </c>
      <c r="F2" s="44" t="s">
        <v>37</v>
      </c>
      <c r="G2" s="44" t="s">
        <v>38</v>
      </c>
      <c r="H2" s="44" t="s">
        <v>39</v>
      </c>
      <c r="I2" s="44" t="s">
        <v>40</v>
      </c>
      <c r="J2" s="44" t="s">
        <v>8</v>
      </c>
    </row>
    <row r="3" customFormat="false" ht="19.5" hidden="false" customHeight="true" outlineLevel="0" collapsed="false">
      <c r="A3" s="14" t="s">
        <v>41</v>
      </c>
      <c r="B3" s="12" t="s">
        <v>13</v>
      </c>
      <c r="C3" s="45" t="n">
        <v>0</v>
      </c>
      <c r="D3" s="46" t="s">
        <v>42</v>
      </c>
      <c r="E3" s="47" t="n">
        <v>30</v>
      </c>
      <c r="F3" s="45" t="n">
        <v>30</v>
      </c>
      <c r="G3" s="48" t="n">
        <v>0</v>
      </c>
      <c r="H3" s="49" t="s">
        <v>43</v>
      </c>
      <c r="I3" s="50" t="n">
        <f aca="false">IF(G3="",6138.97+C3,6138.97+C3+G3)</f>
        <v>6138.97</v>
      </c>
      <c r="J3" s="51"/>
    </row>
    <row r="4" customFormat="false" ht="19.5" hidden="false" customHeight="true" outlineLevel="0" collapsed="false">
      <c r="A4" s="10" t="s">
        <v>44</v>
      </c>
      <c r="B4" s="6" t="s">
        <v>9</v>
      </c>
      <c r="C4" s="52" t="n">
        <v>0</v>
      </c>
      <c r="D4" s="46" t="s">
        <v>42</v>
      </c>
      <c r="E4" s="47" t="n">
        <v>30</v>
      </c>
      <c r="F4" s="52" t="n">
        <v>30</v>
      </c>
      <c r="G4" s="48" t="n">
        <v>0</v>
      </c>
      <c r="H4" s="49" t="s">
        <v>43</v>
      </c>
      <c r="I4" s="53" t="n">
        <f aca="false">IF(G4="",I3+C4,I3+C4+G4)</f>
        <v>6138.97</v>
      </c>
      <c r="J4" s="51"/>
    </row>
    <row r="5" customFormat="false" ht="19.5" hidden="false" customHeight="true" outlineLevel="0" collapsed="false">
      <c r="A5" s="34" t="s">
        <v>45</v>
      </c>
      <c r="B5" s="20" t="s">
        <v>18</v>
      </c>
      <c r="C5" s="54" t="n">
        <v>0</v>
      </c>
      <c r="D5" s="46" t="s">
        <v>42</v>
      </c>
      <c r="E5" s="47" t="n">
        <v>30</v>
      </c>
      <c r="F5" s="54" t="n">
        <v>30</v>
      </c>
      <c r="G5" s="48" t="n">
        <v>0</v>
      </c>
      <c r="H5" s="49" t="s">
        <v>43</v>
      </c>
      <c r="I5" s="55" t="n">
        <f aca="false">IF(G5="",I4+C5,I4+C5+G5)</f>
        <v>6138.97</v>
      </c>
      <c r="J5" s="51"/>
    </row>
    <row r="6" customFormat="false" ht="19.5" hidden="false" customHeight="true" outlineLevel="0" collapsed="false">
      <c r="A6" s="31" t="s">
        <v>46</v>
      </c>
      <c r="B6" s="15" t="s">
        <v>14</v>
      </c>
      <c r="C6" s="56" t="n">
        <v>0</v>
      </c>
      <c r="D6" s="46" t="s">
        <v>42</v>
      </c>
      <c r="E6" s="47" t="n">
        <v>30</v>
      </c>
      <c r="F6" s="56" t="n">
        <v>30</v>
      </c>
      <c r="G6" s="48" t="n">
        <v>0</v>
      </c>
      <c r="H6" s="49" t="s">
        <v>43</v>
      </c>
      <c r="I6" s="57" t="n">
        <f aca="false">IF(G6="",I5+C6,I5+C6+G6)</f>
        <v>6138.97</v>
      </c>
      <c r="J6" s="51"/>
    </row>
    <row r="7" customFormat="false" ht="19.5" hidden="false" customHeight="true" outlineLevel="0" collapsed="false">
      <c r="A7" s="14" t="s">
        <v>47</v>
      </c>
      <c r="B7" s="12" t="s">
        <v>13</v>
      </c>
      <c r="C7" s="45" t="n">
        <v>0</v>
      </c>
      <c r="D7" s="46" t="s">
        <v>48</v>
      </c>
      <c r="E7" s="47" t="n">
        <v>30</v>
      </c>
      <c r="F7" s="45" t="n">
        <v>30</v>
      </c>
      <c r="G7" s="48" t="n">
        <v>129.34</v>
      </c>
      <c r="H7" s="58" t="s">
        <v>49</v>
      </c>
      <c r="I7" s="50" t="n">
        <f aca="false">IF(G7="",I6+C7,I6+C7+G7)</f>
        <v>6268.31</v>
      </c>
      <c r="J7" s="51"/>
    </row>
    <row r="8" customFormat="false" ht="19.5" hidden="false" customHeight="true" outlineLevel="0" collapsed="false">
      <c r="A8" s="10" t="s">
        <v>50</v>
      </c>
      <c r="B8" s="6" t="s">
        <v>9</v>
      </c>
      <c r="C8" s="52" t="n">
        <v>0</v>
      </c>
      <c r="D8" s="46" t="s">
        <v>51</v>
      </c>
      <c r="E8" s="47" t="n">
        <v>5.5</v>
      </c>
      <c r="F8" s="52" t="n">
        <v>30</v>
      </c>
      <c r="G8" s="48" t="n">
        <v>165</v>
      </c>
      <c r="H8" s="58" t="s">
        <v>49</v>
      </c>
      <c r="I8" s="53" t="n">
        <f aca="false">IF(G8="",I7+C8,I7+C8+G8)</f>
        <v>6433.31</v>
      </c>
      <c r="J8" s="51"/>
    </row>
    <row r="9" customFormat="false" ht="19.5" hidden="false" customHeight="true" outlineLevel="0" collapsed="false">
      <c r="A9" s="34" t="s">
        <v>52</v>
      </c>
      <c r="B9" s="20" t="s">
        <v>18</v>
      </c>
      <c r="C9" s="54" t="n">
        <v>0</v>
      </c>
      <c r="D9" s="46" t="s">
        <v>42</v>
      </c>
      <c r="E9" s="47" t="n">
        <v>30</v>
      </c>
      <c r="F9" s="54" t="n">
        <v>30</v>
      </c>
      <c r="G9" s="48" t="n">
        <v>0</v>
      </c>
      <c r="H9" s="49" t="s">
        <v>43</v>
      </c>
      <c r="I9" s="55" t="n">
        <f aca="false">IF(G9="",I8+C9,I8+C9+G9)</f>
        <v>6433.31</v>
      </c>
      <c r="J9" s="51"/>
    </row>
    <row r="10" customFormat="false" ht="19.5" hidden="false" customHeight="true" outlineLevel="0" collapsed="false">
      <c r="A10" s="31" t="s">
        <v>53</v>
      </c>
      <c r="B10" s="15" t="s">
        <v>14</v>
      </c>
      <c r="C10" s="56" t="n">
        <v>0</v>
      </c>
      <c r="D10" s="46" t="s">
        <v>54</v>
      </c>
      <c r="E10" s="47" t="n">
        <v>2.37</v>
      </c>
      <c r="F10" s="56" t="n">
        <v>30</v>
      </c>
      <c r="G10" s="48" t="n">
        <v>71.25</v>
      </c>
      <c r="H10" s="58" t="s">
        <v>49</v>
      </c>
      <c r="I10" s="57" t="n">
        <f aca="false">IF(G10="",I9+C10,I9+C10+G10)</f>
        <v>6504.56</v>
      </c>
      <c r="J10" s="51"/>
    </row>
    <row r="11" customFormat="false" ht="19.5" hidden="false" customHeight="true" outlineLevel="0" collapsed="false">
      <c r="A11" s="14" t="s">
        <v>55</v>
      </c>
      <c r="B11" s="12" t="s">
        <v>13</v>
      </c>
      <c r="C11" s="45" t="n">
        <v>0</v>
      </c>
      <c r="D11" s="46" t="s">
        <v>42</v>
      </c>
      <c r="E11" s="47" t="n">
        <v>30</v>
      </c>
      <c r="F11" s="45" t="n">
        <v>30</v>
      </c>
      <c r="G11" s="48" t="n">
        <v>0</v>
      </c>
      <c r="H11" s="49" t="s">
        <v>43</v>
      </c>
      <c r="I11" s="50" t="n">
        <f aca="false">IF(G11="",I10+C11,I10+C11+G11)</f>
        <v>6504.56</v>
      </c>
      <c r="J11" s="51"/>
    </row>
    <row r="12" customFormat="false" ht="19.5" hidden="false" customHeight="true" outlineLevel="0" collapsed="false">
      <c r="A12" s="10" t="s">
        <v>56</v>
      </c>
      <c r="B12" s="6" t="s">
        <v>9</v>
      </c>
      <c r="C12" s="52" t="n">
        <v>0</v>
      </c>
      <c r="D12" s="46" t="s">
        <v>42</v>
      </c>
      <c r="E12" s="47" t="n">
        <v>30</v>
      </c>
      <c r="F12" s="52" t="n">
        <v>30</v>
      </c>
      <c r="G12" s="48" t="n">
        <v>0</v>
      </c>
      <c r="H12" s="49" t="s">
        <v>43</v>
      </c>
      <c r="I12" s="53" t="n">
        <f aca="false">IF(G12="",I11+C12,I11+C12+G12)</f>
        <v>6504.56</v>
      </c>
      <c r="J12" s="51"/>
    </row>
    <row r="13" customFormat="false" ht="19.5" hidden="false" customHeight="true" outlineLevel="0" collapsed="false">
      <c r="A13" s="34" t="s">
        <v>57</v>
      </c>
      <c r="B13" s="20" t="s">
        <v>18</v>
      </c>
      <c r="C13" s="54" t="n">
        <v>0</v>
      </c>
      <c r="D13" s="46" t="s">
        <v>58</v>
      </c>
      <c r="E13" s="47" t="n">
        <v>4</v>
      </c>
      <c r="F13" s="54" t="n">
        <v>30</v>
      </c>
      <c r="G13" s="48" t="n">
        <v>120</v>
      </c>
      <c r="H13" s="58" t="s">
        <v>49</v>
      </c>
      <c r="I13" s="55" t="n">
        <f aca="false">IF(G13="",I12+C13,I12+C13+G13)</f>
        <v>6624.56</v>
      </c>
      <c r="J13" s="51"/>
    </row>
    <row r="14" customFormat="false" ht="19.5" hidden="false" customHeight="true" outlineLevel="0" collapsed="false">
      <c r="A14" s="31" t="s">
        <v>59</v>
      </c>
      <c r="B14" s="15" t="s">
        <v>14</v>
      </c>
      <c r="C14" s="56" t="n">
        <v>0</v>
      </c>
      <c r="D14" s="46"/>
      <c r="E14" s="47" t="n">
        <v>30</v>
      </c>
      <c r="F14" s="56" t="n">
        <v>30</v>
      </c>
      <c r="G14" s="48"/>
      <c r="H14" s="59" t="s">
        <v>60</v>
      </c>
      <c r="I14" s="57" t="n">
        <f aca="false">IF(G14="",I13+C14,I13+C14+G14)</f>
        <v>6624.56</v>
      </c>
      <c r="J14" s="51"/>
    </row>
    <row r="15" customFormat="false" ht="19.5" hidden="false" customHeight="true" outlineLevel="0" collapsed="false">
      <c r="A15" s="14" t="s">
        <v>61</v>
      </c>
      <c r="B15" s="12" t="s">
        <v>13</v>
      </c>
      <c r="C15" s="45" t="n">
        <v>0</v>
      </c>
      <c r="D15" s="46" t="s">
        <v>42</v>
      </c>
      <c r="E15" s="47" t="n">
        <v>30</v>
      </c>
      <c r="F15" s="45" t="n">
        <v>30</v>
      </c>
      <c r="G15" s="48" t="n">
        <v>0</v>
      </c>
      <c r="H15" s="49" t="s">
        <v>43</v>
      </c>
      <c r="I15" s="50" t="n">
        <f aca="false">IF(G15="",I14+C15,I14+C15+G15)</f>
        <v>6624.56</v>
      </c>
      <c r="J15" s="51"/>
    </row>
    <row r="16" customFormat="false" ht="19.5" hidden="false" customHeight="true" outlineLevel="0" collapsed="false">
      <c r="A16" s="10" t="s">
        <v>62</v>
      </c>
      <c r="B16" s="6" t="s">
        <v>9</v>
      </c>
      <c r="C16" s="52" t="n">
        <v>0</v>
      </c>
      <c r="D16" s="46" t="s">
        <v>63</v>
      </c>
      <c r="E16" s="47" t="s">
        <v>64</v>
      </c>
      <c r="F16" s="52" t="n">
        <v>30</v>
      </c>
      <c r="G16" s="48" t="n">
        <v>111.05</v>
      </c>
      <c r="H16" s="58" t="s">
        <v>49</v>
      </c>
      <c r="I16" s="53" t="n">
        <f aca="false">IF(G16="",I15+C16,I15+C16+G16)</f>
        <v>6735.61</v>
      </c>
      <c r="J16" s="51"/>
    </row>
    <row r="17" customFormat="false" ht="19.5" hidden="false" customHeight="true" outlineLevel="0" collapsed="false">
      <c r="A17" s="34" t="s">
        <v>65</v>
      </c>
      <c r="B17" s="20" t="s">
        <v>18</v>
      </c>
      <c r="C17" s="54" t="n">
        <v>0</v>
      </c>
      <c r="D17" s="46" t="s">
        <v>42</v>
      </c>
      <c r="E17" s="47"/>
      <c r="F17" s="54" t="n">
        <v>30</v>
      </c>
      <c r="G17" s="48" t="n">
        <v>0</v>
      </c>
      <c r="H17" s="49" t="s">
        <v>43</v>
      </c>
      <c r="I17" s="55" t="n">
        <f aca="false">IF(G17="",I16+C17,I16+C17+G17)</f>
        <v>6735.61</v>
      </c>
      <c r="J17" s="51"/>
    </row>
    <row r="18" customFormat="false" ht="19.5" hidden="false" customHeight="true" outlineLevel="0" collapsed="false">
      <c r="A18" s="31" t="s">
        <v>66</v>
      </c>
      <c r="B18" s="15" t="s">
        <v>14</v>
      </c>
      <c r="C18" s="56" t="n">
        <v>0</v>
      </c>
      <c r="D18" s="46"/>
      <c r="E18" s="47" t="n">
        <v>30</v>
      </c>
      <c r="F18" s="56" t="n">
        <v>30</v>
      </c>
      <c r="G18" s="48"/>
      <c r="H18" s="59" t="s">
        <v>60</v>
      </c>
      <c r="I18" s="57" t="n">
        <f aca="false">IF(G18="",I17+C18,I17+C18+G18)</f>
        <v>6735.61</v>
      </c>
      <c r="J18" s="51"/>
    </row>
    <row r="19" customFormat="false" ht="19.5" hidden="false" customHeight="true" outlineLevel="0" collapsed="false">
      <c r="A19" s="14" t="s">
        <v>67</v>
      </c>
      <c r="B19" s="12" t="s">
        <v>13</v>
      </c>
      <c r="C19" s="45" t="n">
        <v>0</v>
      </c>
      <c r="D19" s="46" t="s">
        <v>42</v>
      </c>
      <c r="E19" s="47" t="n">
        <v>30</v>
      </c>
      <c r="F19" s="45" t="n">
        <v>30</v>
      </c>
      <c r="G19" s="48" t="n">
        <v>0</v>
      </c>
      <c r="H19" s="49" t="s">
        <v>43</v>
      </c>
      <c r="I19" s="50" t="n">
        <f aca="false">IF(G19="",I18+C19,I18+C19+G19)</f>
        <v>6735.61</v>
      </c>
      <c r="J19" s="51"/>
    </row>
    <row r="20" customFormat="false" ht="19.5" hidden="false" customHeight="true" outlineLevel="0" collapsed="false">
      <c r="A20" s="10" t="s">
        <v>68</v>
      </c>
      <c r="B20" s="6" t="s">
        <v>9</v>
      </c>
      <c r="C20" s="52" t="n">
        <v>0</v>
      </c>
      <c r="D20" s="46" t="s">
        <v>42</v>
      </c>
      <c r="E20" s="47" t="s">
        <v>11</v>
      </c>
      <c r="F20" s="52" t="n">
        <v>20</v>
      </c>
      <c r="G20" s="48" t="n">
        <v>0</v>
      </c>
      <c r="H20" s="49" t="s">
        <v>43</v>
      </c>
      <c r="I20" s="53" t="n">
        <f aca="false">IF(G20="",I19+C20,I19+C20+G20)</f>
        <v>6735.61</v>
      </c>
      <c r="J20" s="51" t="s">
        <v>69</v>
      </c>
    </row>
    <row r="21" customFormat="false" ht="19.5" hidden="false" customHeight="true" outlineLevel="0" collapsed="false">
      <c r="A21" s="60" t="s">
        <v>68</v>
      </c>
      <c r="B21" s="61" t="s">
        <v>9</v>
      </c>
      <c r="C21" s="62" t="n">
        <v>0</v>
      </c>
      <c r="D21" s="63" t="s">
        <v>70</v>
      </c>
      <c r="E21" s="60" t="n">
        <v>11.75</v>
      </c>
      <c r="F21" s="62" t="n">
        <v>10</v>
      </c>
      <c r="G21" s="60" t="n">
        <v>0</v>
      </c>
      <c r="H21" s="60" t="s">
        <v>43</v>
      </c>
      <c r="I21" s="64" t="n">
        <f aca="false">IF(G21="",I20+C21,I20+C21+G21)</f>
        <v>6735.61</v>
      </c>
      <c r="J21" s="1" t="s">
        <v>71</v>
      </c>
    </row>
    <row r="22" customFormat="false" ht="19.5" hidden="false" customHeight="true" outlineLevel="0" collapsed="false">
      <c r="A22" s="34" t="s">
        <v>72</v>
      </c>
      <c r="B22" s="20" t="s">
        <v>18</v>
      </c>
      <c r="C22" s="54" t="n">
        <v>0</v>
      </c>
      <c r="D22" s="46" t="s">
        <v>73</v>
      </c>
      <c r="E22" s="47" t="n">
        <v>3.9</v>
      </c>
      <c r="F22" s="54" t="n">
        <v>30</v>
      </c>
      <c r="G22" s="48" t="n">
        <v>0</v>
      </c>
      <c r="H22" s="65" t="s">
        <v>43</v>
      </c>
      <c r="I22" s="55" t="n">
        <f aca="false">IF(G22="",I21+C22,I21+C22+G22)</f>
        <v>6735.61</v>
      </c>
      <c r="J22" s="51"/>
    </row>
    <row r="23" customFormat="false" ht="19.5" hidden="false" customHeight="true" outlineLevel="0" collapsed="false">
      <c r="A23" s="31" t="s">
        <v>74</v>
      </c>
      <c r="B23" s="15" t="s">
        <v>14</v>
      </c>
      <c r="C23" s="56" t="n">
        <v>0</v>
      </c>
      <c r="D23" s="46" t="s">
        <v>75</v>
      </c>
      <c r="E23" s="47"/>
      <c r="F23" s="56" t="n">
        <v>30</v>
      </c>
      <c r="G23" s="48" t="n">
        <v>0</v>
      </c>
      <c r="H23" s="65" t="s">
        <v>43</v>
      </c>
      <c r="I23" s="57" t="n">
        <f aca="false">IF(G23="",I22+C23,I22+C23+G23)</f>
        <v>6735.61</v>
      </c>
      <c r="J23" s="51"/>
    </row>
    <row r="24" customFormat="false" ht="19.5" hidden="false" customHeight="true" outlineLevel="0" collapsed="false">
      <c r="A24" s="14" t="s">
        <v>76</v>
      </c>
      <c r="B24" s="12" t="s">
        <v>13</v>
      </c>
      <c r="C24" s="45" t="n">
        <v>0</v>
      </c>
      <c r="D24" s="46" t="s">
        <v>77</v>
      </c>
      <c r="E24" s="47"/>
      <c r="F24" s="45" t="n">
        <v>30</v>
      </c>
      <c r="G24" s="48" t="n">
        <v>0</v>
      </c>
      <c r="H24" s="65" t="s">
        <v>43</v>
      </c>
      <c r="I24" s="50" t="n">
        <f aca="false">IF(G24="",I23+C24,I23+C24+G24)</f>
        <v>6735.61</v>
      </c>
      <c r="J24" s="51"/>
    </row>
    <row r="25" customFormat="false" ht="19.5" hidden="false" customHeight="true" outlineLevel="0" collapsed="false">
      <c r="A25" s="10" t="s">
        <v>78</v>
      </c>
      <c r="B25" s="6" t="s">
        <v>9</v>
      </c>
      <c r="C25" s="52" t="n">
        <v>0</v>
      </c>
      <c r="D25" s="46" t="s">
        <v>79</v>
      </c>
      <c r="E25" s="47" t="n">
        <v>2.88</v>
      </c>
      <c r="F25" s="52" t="n">
        <v>30</v>
      </c>
      <c r="G25" s="48" t="n">
        <v>86.4</v>
      </c>
      <c r="H25" s="65" t="s">
        <v>49</v>
      </c>
      <c r="I25" s="53" t="n">
        <f aca="false">IF(G25="",I24+C25,I24+C25+G25)</f>
        <v>6822.01</v>
      </c>
      <c r="J25" s="51"/>
    </row>
    <row r="26" customFormat="false" ht="19.5" hidden="false" customHeight="true" outlineLevel="0" collapsed="false">
      <c r="A26" s="34" t="s">
        <v>80</v>
      </c>
      <c r="B26" s="20" t="s">
        <v>18</v>
      </c>
      <c r="C26" s="54" t="n">
        <v>0</v>
      </c>
      <c r="D26" s="46" t="s">
        <v>81</v>
      </c>
      <c r="E26" s="47" t="s">
        <v>82</v>
      </c>
      <c r="F26" s="54" t="n">
        <v>30</v>
      </c>
      <c r="G26" s="48" t="n">
        <v>0</v>
      </c>
      <c r="H26" s="65" t="s">
        <v>43</v>
      </c>
      <c r="I26" s="55" t="n">
        <f aca="false">IF(G26="",I25+C26,I25+C26+G26)</f>
        <v>6822.01</v>
      </c>
      <c r="J26" s="51"/>
    </row>
    <row r="27" customFormat="false" ht="19.5" hidden="false" customHeight="true" outlineLevel="0" collapsed="false">
      <c r="A27" s="34" t="s">
        <v>80</v>
      </c>
      <c r="B27" s="20" t="s">
        <v>18</v>
      </c>
      <c r="C27" s="54" t="n">
        <v>0</v>
      </c>
      <c r="D27" s="46" t="s">
        <v>83</v>
      </c>
      <c r="E27" s="47" t="s">
        <v>84</v>
      </c>
      <c r="F27" s="54" t="n">
        <v>30</v>
      </c>
      <c r="G27" s="48" t="n">
        <v>0</v>
      </c>
      <c r="H27" s="65" t="s">
        <v>43</v>
      </c>
      <c r="I27" s="55" t="n">
        <f aca="false">IF(G27="",I26+C27,I26+C27+G27)</f>
        <v>6822.01</v>
      </c>
      <c r="J27" s="51" t="s">
        <v>85</v>
      </c>
    </row>
    <row r="28" customFormat="false" ht="19.5" hidden="false" customHeight="true" outlineLevel="0" collapsed="false">
      <c r="A28" s="31" t="s">
        <v>86</v>
      </c>
      <c r="B28" s="15" t="s">
        <v>14</v>
      </c>
      <c r="C28" s="56" t="n">
        <v>0</v>
      </c>
      <c r="D28" s="46" t="s">
        <v>87</v>
      </c>
      <c r="E28" s="47" t="s">
        <v>88</v>
      </c>
      <c r="F28" s="56" t="n">
        <v>30</v>
      </c>
      <c r="G28" s="48" t="n">
        <v>0</v>
      </c>
      <c r="H28" s="65" t="s">
        <v>43</v>
      </c>
      <c r="I28" s="57" t="n">
        <f aca="false">IF(G28="",I27+C28,I27+C28+G28)</f>
        <v>6822.01</v>
      </c>
      <c r="J28" s="51"/>
    </row>
    <row r="29" customFormat="false" ht="19.5" hidden="false" customHeight="true" outlineLevel="0" collapsed="false">
      <c r="A29" s="14" t="s">
        <v>89</v>
      </c>
      <c r="B29" s="12" t="s">
        <v>13</v>
      </c>
      <c r="C29" s="45" t="n">
        <v>0</v>
      </c>
      <c r="D29" s="46" t="s">
        <v>90</v>
      </c>
      <c r="E29" s="47" t="s">
        <v>91</v>
      </c>
      <c r="F29" s="45" t="n">
        <v>30</v>
      </c>
      <c r="G29" s="48" t="n">
        <v>0</v>
      </c>
      <c r="H29" s="65" t="s">
        <v>43</v>
      </c>
      <c r="I29" s="50" t="n">
        <f aca="false">IF(G29="",I28+C29,I28+C29+G29)</f>
        <v>6822.01</v>
      </c>
      <c r="J29" s="51"/>
    </row>
    <row r="30" customFormat="false" ht="19.5" hidden="false" customHeight="true" outlineLevel="0" collapsed="false">
      <c r="A30" s="14" t="s">
        <v>89</v>
      </c>
      <c r="B30" s="12" t="s">
        <v>13</v>
      </c>
      <c r="C30" s="45" t="n">
        <v>0</v>
      </c>
      <c r="D30" s="46" t="s">
        <v>92</v>
      </c>
      <c r="E30" s="47" t="s">
        <v>93</v>
      </c>
      <c r="F30" s="45" t="n">
        <v>10</v>
      </c>
      <c r="G30" s="48" t="n">
        <v>0</v>
      </c>
      <c r="H30" s="65" t="s">
        <v>43</v>
      </c>
      <c r="I30" s="50" t="n">
        <f aca="false">IF(G30="",I29+C30,I29+C30+G30)</f>
        <v>6822.01</v>
      </c>
      <c r="J30" s="51" t="s">
        <v>94</v>
      </c>
    </row>
    <row r="31" customFormat="false" ht="19.5" hidden="false" customHeight="true" outlineLevel="0" collapsed="false">
      <c r="A31" s="1" t="s">
        <v>95</v>
      </c>
      <c r="B31" s="1" t="s">
        <v>9</v>
      </c>
      <c r="C31" s="1" t="n">
        <v>0</v>
      </c>
      <c r="D31" s="1" t="s">
        <v>96</v>
      </c>
      <c r="E31" s="1" t="s">
        <v>97</v>
      </c>
      <c r="F31" s="1" t="n">
        <v>30</v>
      </c>
      <c r="G31" s="1" t="n">
        <v>118.5</v>
      </c>
      <c r="H31" s="1" t="s">
        <v>49</v>
      </c>
      <c r="I31" s="1" t="n">
        <f aca="false">IF(G31="",I30+C31,I30+C31+G31)</f>
        <v>6940.51</v>
      </c>
    </row>
    <row r="32" customFormat="false" ht="19.5" hidden="false" customHeight="true" outlineLevel="0" collapsed="false">
      <c r="A32" s="34" t="s">
        <v>98</v>
      </c>
      <c r="B32" s="20" t="s">
        <v>18</v>
      </c>
      <c r="C32" s="54" t="n">
        <v>0</v>
      </c>
      <c r="D32" s="46" t="s">
        <v>99</v>
      </c>
      <c r="E32" s="47"/>
      <c r="F32" s="54" t="n">
        <v>30</v>
      </c>
      <c r="G32" s="48" t="n">
        <v>0</v>
      </c>
      <c r="H32" s="65" t="s">
        <v>43</v>
      </c>
      <c r="I32" s="55" t="n">
        <f aca="false">IF(G32="",I31+C32,I31+C32+G32)</f>
        <v>6940.51</v>
      </c>
      <c r="J32" s="51"/>
    </row>
    <row r="33" customFormat="false" ht="19.5" hidden="false" customHeight="true" outlineLevel="0" collapsed="false">
      <c r="A33" s="34" t="s">
        <v>100</v>
      </c>
      <c r="B33" s="20" t="s">
        <v>13</v>
      </c>
      <c r="C33" s="54" t="n">
        <v>0</v>
      </c>
      <c r="D33" s="46" t="s">
        <v>101</v>
      </c>
      <c r="E33" s="47" t="s">
        <v>102</v>
      </c>
      <c r="F33" s="54" t="n">
        <v>30</v>
      </c>
      <c r="G33" s="48" t="n">
        <v>158.4</v>
      </c>
      <c r="H33" s="65" t="s">
        <v>49</v>
      </c>
      <c r="I33" s="55" t="n">
        <f aca="false">IF(G33="",I32+C33,I32+C33+G33)</f>
        <v>7098.91</v>
      </c>
      <c r="J33" s="51" t="s">
        <v>103</v>
      </c>
    </row>
    <row r="34" customFormat="false" ht="19.5" hidden="false" customHeight="true" outlineLevel="0" collapsed="false">
      <c r="A34" s="14" t="s">
        <v>104</v>
      </c>
      <c r="B34" s="12" t="s">
        <v>14</v>
      </c>
      <c r="C34" s="45" t="n">
        <v>0</v>
      </c>
      <c r="D34" s="46"/>
      <c r="E34" s="47"/>
      <c r="F34" s="45" t="n">
        <v>30</v>
      </c>
      <c r="G34" s="48"/>
      <c r="H34" s="65" t="s">
        <v>60</v>
      </c>
      <c r="I34" s="50" t="n">
        <f aca="false">IF(G34="",I33+C34,I33+C34+G34)</f>
        <v>7098.91</v>
      </c>
      <c r="J34" s="51" t="s">
        <v>105</v>
      </c>
    </row>
    <row r="35" customFormat="false" ht="19.5" hidden="false" customHeight="true" outlineLevel="0" collapsed="false">
      <c r="A35" s="10" t="s">
        <v>106</v>
      </c>
      <c r="B35" s="6" t="s">
        <v>13</v>
      </c>
      <c r="C35" s="52" t="n">
        <v>0</v>
      </c>
      <c r="D35" s="46"/>
      <c r="E35" s="47"/>
      <c r="F35" s="52" t="n">
        <v>30</v>
      </c>
      <c r="G35" s="48"/>
      <c r="H35" s="65"/>
      <c r="I35" s="53" t="n">
        <f aca="false">IF(G35="",I34+C35,I34+C35+G35)</f>
        <v>7098.91</v>
      </c>
      <c r="J35" s="51" t="s">
        <v>107</v>
      </c>
    </row>
    <row r="36" customFormat="false" ht="19.5" hidden="false" customHeight="true" outlineLevel="0" collapsed="false">
      <c r="A36" s="10" t="s">
        <v>108</v>
      </c>
      <c r="B36" s="6" t="s">
        <v>9</v>
      </c>
      <c r="C36" s="52" t="n">
        <v>0</v>
      </c>
      <c r="D36" s="46"/>
      <c r="E36" s="47" t="n">
        <v>30</v>
      </c>
      <c r="F36" s="52" t="n">
        <v>30</v>
      </c>
      <c r="G36" s="48"/>
      <c r="H36" s="65"/>
      <c r="I36" s="53" t="n">
        <f aca="false">IF(G36="",I35+C36,I35+C36+G36)</f>
        <v>7098.91</v>
      </c>
      <c r="J36" s="51"/>
    </row>
    <row r="37" customFormat="false" ht="19.5" hidden="false" customHeight="true" outlineLevel="0" collapsed="false">
      <c r="A37" s="34" t="s">
        <v>109</v>
      </c>
      <c r="B37" s="20" t="s">
        <v>18</v>
      </c>
      <c r="C37" s="54" t="n">
        <v>0</v>
      </c>
      <c r="D37" s="46"/>
      <c r="E37" s="47" t="n">
        <v>30</v>
      </c>
      <c r="F37" s="54" t="n">
        <v>30</v>
      </c>
      <c r="G37" s="48"/>
      <c r="H37" s="65"/>
      <c r="I37" s="55" t="n">
        <f aca="false">IF(G37="",I36+C37,I36+C37+G37)</f>
        <v>7098.91</v>
      </c>
      <c r="J37" s="51"/>
    </row>
    <row r="38" customFormat="false" ht="19.5" hidden="false" customHeight="true" outlineLevel="0" collapsed="false">
      <c r="A38" s="31" t="s">
        <v>110</v>
      </c>
      <c r="B38" s="15" t="s">
        <v>14</v>
      </c>
      <c r="C38" s="56" t="n">
        <v>0</v>
      </c>
      <c r="D38" s="46"/>
      <c r="E38" s="47" t="n">
        <v>30</v>
      </c>
      <c r="F38" s="56" t="n">
        <v>30</v>
      </c>
      <c r="G38" s="48"/>
      <c r="H38" s="65"/>
      <c r="I38" s="57" t="n">
        <f aca="false">IF(G38="",I37+C38,I37+C38+G38)</f>
        <v>7098.91</v>
      </c>
      <c r="J38" s="51"/>
    </row>
    <row r="39" customFormat="false" ht="19.5" hidden="false" customHeight="true" outlineLevel="0" collapsed="false">
      <c r="A39" s="14" t="s">
        <v>111</v>
      </c>
      <c r="B39" s="12" t="s">
        <v>13</v>
      </c>
      <c r="C39" s="45" t="n">
        <v>0</v>
      </c>
      <c r="D39" s="46"/>
      <c r="E39" s="47" t="n">
        <v>30</v>
      </c>
      <c r="F39" s="45" t="n">
        <v>30</v>
      </c>
      <c r="G39" s="48"/>
      <c r="H39" s="65"/>
      <c r="I39" s="50" t="n">
        <f aca="false">IF(G39="",I38+C39,I38+C39+G39)</f>
        <v>7098.91</v>
      </c>
      <c r="J39" s="51"/>
    </row>
    <row r="40" customFormat="false" ht="19.5" hidden="false" customHeight="true" outlineLevel="0" collapsed="false">
      <c r="A40" s="10" t="s">
        <v>112</v>
      </c>
      <c r="B40" s="6" t="s">
        <v>9</v>
      </c>
      <c r="C40" s="52" t="n">
        <v>0</v>
      </c>
      <c r="D40" s="46"/>
      <c r="E40" s="47" t="n">
        <v>30</v>
      </c>
      <c r="F40" s="52" t="n">
        <v>30</v>
      </c>
      <c r="G40" s="48"/>
      <c r="H40" s="65"/>
      <c r="I40" s="53" t="n">
        <f aca="false">IF(G40="",I39+C40,I39+C40+G40)</f>
        <v>7098.91</v>
      </c>
      <c r="J40" s="51"/>
    </row>
    <row r="41" customFormat="false" ht="19.5" hidden="false" customHeight="true" outlineLevel="0" collapsed="false">
      <c r="A41" s="34" t="s">
        <v>113</v>
      </c>
      <c r="B41" s="20" t="s">
        <v>18</v>
      </c>
      <c r="C41" s="54" t="n">
        <v>0</v>
      </c>
      <c r="D41" s="46"/>
      <c r="E41" s="47" t="n">
        <v>30</v>
      </c>
      <c r="F41" s="54" t="n">
        <v>30</v>
      </c>
      <c r="G41" s="48"/>
      <c r="H41" s="65"/>
      <c r="I41" s="55" t="n">
        <f aca="false">IF(G41="",I40+C41,I40+C41+G41)</f>
        <v>7098.91</v>
      </c>
      <c r="J41" s="51"/>
    </row>
    <row r="42" customFormat="false" ht="19.5" hidden="false" customHeight="true" outlineLevel="0" collapsed="false">
      <c r="A42" s="31" t="s">
        <v>114</v>
      </c>
      <c r="B42" s="15" t="s">
        <v>14</v>
      </c>
      <c r="C42" s="56" t="n">
        <v>0</v>
      </c>
      <c r="D42" s="46"/>
      <c r="E42" s="47" t="n">
        <v>30</v>
      </c>
      <c r="F42" s="56" t="n">
        <v>30</v>
      </c>
      <c r="G42" s="48"/>
      <c r="H42" s="65"/>
      <c r="I42" s="57" t="n">
        <f aca="false">IF(G42="",I41+C42,I41+C42+G42)</f>
        <v>7098.91</v>
      </c>
      <c r="J42" s="51"/>
    </row>
    <row r="43" customFormat="false" ht="19.5" hidden="false" customHeight="true" outlineLevel="0" collapsed="false">
      <c r="A43" s="14" t="s">
        <v>115</v>
      </c>
      <c r="B43" s="12" t="s">
        <v>13</v>
      </c>
      <c r="C43" s="45" t="n">
        <v>0</v>
      </c>
      <c r="D43" s="46"/>
      <c r="E43" s="47" t="n">
        <v>30</v>
      </c>
      <c r="F43" s="45" t="n">
        <v>30</v>
      </c>
      <c r="G43" s="48"/>
      <c r="H43" s="65"/>
      <c r="I43" s="50" t="n">
        <f aca="false">IF(G43="",I42+C43,I42+C43+G43)</f>
        <v>7098.91</v>
      </c>
      <c r="J43" s="51"/>
    </row>
    <row r="44" customFormat="false" ht="19.5" hidden="false" customHeight="true" outlineLevel="0" collapsed="false">
      <c r="A44" s="10" t="s">
        <v>116</v>
      </c>
      <c r="B44" s="6" t="s">
        <v>9</v>
      </c>
      <c r="C44" s="52" t="n">
        <v>0</v>
      </c>
      <c r="D44" s="46"/>
      <c r="E44" s="47" t="n">
        <v>30</v>
      </c>
      <c r="F44" s="52" t="n">
        <v>30</v>
      </c>
      <c r="G44" s="48"/>
      <c r="H44" s="65"/>
      <c r="I44" s="53" t="n">
        <f aca="false">IF(G44="",I43+C44,I43+C44+G44)</f>
        <v>7098.91</v>
      </c>
      <c r="J44" s="51"/>
    </row>
    <row r="45" customFormat="false" ht="19.5" hidden="false" customHeight="true" outlineLevel="0" collapsed="false">
      <c r="A45" s="34" t="s">
        <v>117</v>
      </c>
      <c r="B45" s="20" t="s">
        <v>18</v>
      </c>
      <c r="C45" s="54" t="n">
        <v>0</v>
      </c>
      <c r="D45" s="46"/>
      <c r="E45" s="47" t="n">
        <v>30</v>
      </c>
      <c r="F45" s="54" t="n">
        <v>30</v>
      </c>
      <c r="G45" s="48"/>
      <c r="H45" s="65"/>
      <c r="I45" s="55" t="n">
        <f aca="false">IF(G45="",I44+C45,I44+C45+G45)</f>
        <v>7098.91</v>
      </c>
      <c r="J45" s="51"/>
    </row>
    <row r="46" customFormat="false" ht="19.5" hidden="false" customHeight="true" outlineLevel="0" collapsed="false">
      <c r="A46" s="31" t="s">
        <v>118</v>
      </c>
      <c r="B46" s="15" t="s">
        <v>14</v>
      </c>
      <c r="C46" s="56" t="n">
        <v>0</v>
      </c>
      <c r="D46" s="46"/>
      <c r="E46" s="47" t="n">
        <v>30</v>
      </c>
      <c r="F46" s="56" t="n">
        <v>30</v>
      </c>
      <c r="G46" s="48"/>
      <c r="H46" s="65"/>
      <c r="I46" s="57" t="n">
        <f aca="false">IF(G46="",I45+C46,I45+C46+G46)</f>
        <v>7098.91</v>
      </c>
      <c r="J46" s="51"/>
    </row>
    <row r="47" customFormat="false" ht="19.5" hidden="false" customHeight="true" outlineLevel="0" collapsed="false">
      <c r="A47" s="14" t="s">
        <v>119</v>
      </c>
      <c r="B47" s="12" t="s">
        <v>13</v>
      </c>
      <c r="C47" s="45" t="n">
        <v>0</v>
      </c>
      <c r="D47" s="46"/>
      <c r="E47" s="47" t="n">
        <v>30</v>
      </c>
      <c r="F47" s="45" t="n">
        <v>30</v>
      </c>
      <c r="G47" s="48"/>
      <c r="H47" s="65"/>
      <c r="I47" s="50" t="n">
        <f aca="false">IF(G47="",I46+C47,I46+C47+G47)</f>
        <v>7098.91</v>
      </c>
      <c r="J47" s="51"/>
    </row>
    <row r="48" customFormat="false" ht="19.5" hidden="false" customHeight="true" outlineLevel="0" collapsed="false">
      <c r="A48" s="10" t="s">
        <v>120</v>
      </c>
      <c r="B48" s="6" t="s">
        <v>9</v>
      </c>
      <c r="C48" s="52" t="n">
        <v>0</v>
      </c>
      <c r="D48" s="46"/>
      <c r="E48" s="47" t="n">
        <v>30</v>
      </c>
      <c r="F48" s="52" t="n">
        <v>30</v>
      </c>
      <c r="G48" s="48"/>
      <c r="H48" s="65"/>
      <c r="I48" s="53" t="n">
        <f aca="false">IF(G48="",I47+C48,I47+C48+G48)</f>
        <v>7098.91</v>
      </c>
      <c r="J48" s="51"/>
    </row>
    <row r="49" customFormat="false" ht="19.5" hidden="false" customHeight="true" outlineLevel="0" collapsed="false">
      <c r="A49" s="34" t="s">
        <v>121</v>
      </c>
      <c r="B49" s="20" t="s">
        <v>18</v>
      </c>
      <c r="C49" s="54" t="n">
        <v>0</v>
      </c>
      <c r="D49" s="46"/>
      <c r="E49" s="47" t="n">
        <v>30</v>
      </c>
      <c r="F49" s="54" t="n">
        <v>30</v>
      </c>
      <c r="G49" s="48"/>
      <c r="H49" s="65"/>
      <c r="I49" s="55" t="n">
        <f aca="false">IF(G49="",I48+C49,I48+C49+G49)</f>
        <v>7098.91</v>
      </c>
      <c r="J49" s="51"/>
    </row>
    <row r="50" customFormat="false" ht="19.5" hidden="false" customHeight="true" outlineLevel="0" collapsed="false">
      <c r="A50" s="31" t="s">
        <v>122</v>
      </c>
      <c r="B50" s="15" t="s">
        <v>14</v>
      </c>
      <c r="C50" s="56" t="n">
        <v>0</v>
      </c>
      <c r="D50" s="46"/>
      <c r="E50" s="47" t="n">
        <v>30</v>
      </c>
      <c r="F50" s="56" t="n">
        <v>30</v>
      </c>
      <c r="G50" s="48"/>
      <c r="H50" s="65"/>
      <c r="I50" s="57" t="n">
        <f aca="false">IF(G50="",I49+C50,I49+C50+G50)</f>
        <v>7098.91</v>
      </c>
      <c r="J50" s="51"/>
    </row>
    <row r="51" customFormat="false" ht="15" hidden="false" customHeight="false" outlineLevel="0" collapsed="false">
      <c r="A51" s="14" t="s">
        <v>123</v>
      </c>
      <c r="B51" s="12" t="s">
        <v>13</v>
      </c>
      <c r="C51" s="45" t="n">
        <v>0</v>
      </c>
      <c r="D51" s="46"/>
      <c r="E51" s="47" t="n">
        <v>30</v>
      </c>
      <c r="F51" s="45" t="n">
        <v>30</v>
      </c>
      <c r="G51" s="48"/>
      <c r="H51" s="65"/>
      <c r="I51" s="50" t="n">
        <f aca="false">IF(G51="",I50+C51,I50+C51+G51)</f>
        <v>7098.91</v>
      </c>
      <c r="J51" s="51"/>
    </row>
    <row r="52" customFormat="false" ht="15" hidden="false" customHeight="false" outlineLevel="0" collapsed="false">
      <c r="A52" s="10" t="s">
        <v>124</v>
      </c>
      <c r="B52" s="6" t="s">
        <v>9</v>
      </c>
      <c r="C52" s="52" t="n">
        <v>0</v>
      </c>
      <c r="D52" s="46"/>
      <c r="E52" s="47" t="n">
        <v>30</v>
      </c>
      <c r="F52" s="52" t="n">
        <v>30</v>
      </c>
      <c r="G52" s="48"/>
      <c r="H52" s="65"/>
      <c r="I52" s="53" t="n">
        <f aca="false">IF(G52="",I51+C52,I51+C52+G52)</f>
        <v>7098.91</v>
      </c>
      <c r="J52" s="51"/>
    </row>
    <row r="53" customFormat="false" ht="15" hidden="false" customHeight="false" outlineLevel="0" collapsed="false">
      <c r="A53" s="34" t="s">
        <v>125</v>
      </c>
      <c r="B53" s="20" t="s">
        <v>18</v>
      </c>
      <c r="C53" s="54" t="n">
        <v>0</v>
      </c>
      <c r="D53" s="46"/>
      <c r="E53" s="47" t="n">
        <v>30</v>
      </c>
      <c r="F53" s="54" t="n">
        <v>30</v>
      </c>
      <c r="G53" s="48"/>
      <c r="H53" s="65"/>
      <c r="I53" s="55" t="n">
        <f aca="false">IF(G53="",I52+C53,I52+C53+G53)</f>
        <v>7098.91</v>
      </c>
      <c r="J53" s="51"/>
    </row>
    <row r="54" customFormat="false" ht="15" hidden="false" customHeight="false" outlineLevel="0" collapsed="false">
      <c r="A54" s="31" t="s">
        <v>126</v>
      </c>
      <c r="B54" s="15" t="s">
        <v>14</v>
      </c>
      <c r="C54" s="56" t="n">
        <v>0</v>
      </c>
      <c r="D54" s="46"/>
      <c r="E54" s="47" t="n">
        <v>30</v>
      </c>
      <c r="F54" s="56" t="n">
        <v>30</v>
      </c>
      <c r="G54" s="48"/>
      <c r="H54" s="65"/>
      <c r="I54" s="57" t="n">
        <f aca="false">IF(G54="",I53+C54,I53+C54+G54)</f>
        <v>7098.91</v>
      </c>
      <c r="J54" s="51"/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15"/>
    <col collapsed="false" customWidth="true" hidden="false" outlineLevel="0" max="6" min="6" style="1" width="12"/>
  </cols>
  <sheetData>
    <row r="1" customFormat="false" ht="30" hidden="false" customHeight="true" outlineLevel="0" collapsed="false">
      <c r="A1" s="43" t="s">
        <v>127</v>
      </c>
      <c r="B1" s="43"/>
      <c r="C1" s="43"/>
      <c r="D1" s="43"/>
      <c r="E1" s="43"/>
      <c r="F1" s="43"/>
    </row>
    <row r="2" customFormat="false" ht="24.75" hidden="false" customHeight="true" outlineLevel="0" collapsed="false">
      <c r="A2" s="5" t="s">
        <v>2</v>
      </c>
      <c r="B2" s="5" t="s">
        <v>128</v>
      </c>
      <c r="C2" s="5" t="s">
        <v>129</v>
      </c>
      <c r="D2" s="5" t="s">
        <v>130</v>
      </c>
      <c r="E2" s="5" t="s">
        <v>131</v>
      </c>
      <c r="F2" s="5" t="s">
        <v>27</v>
      </c>
    </row>
    <row r="3" customFormat="false" ht="21.75" hidden="false" customHeight="true" outlineLevel="0" collapsed="false">
      <c r="A3" s="12" t="s">
        <v>13</v>
      </c>
      <c r="B3" s="14" t="n">
        <f aca="false">COUNTIF('2026 Tracker'!B3:B50,A3)</f>
        <v>13</v>
      </c>
      <c r="C3" s="66" t="n">
        <f aca="false">SUMIF('2026 Tracker'!B3:B50,A3,'2026 Tracker'!E3:E50)</f>
        <v>240</v>
      </c>
      <c r="D3" s="39" t="n">
        <f aca="false">SUMIF('2026 Tracker'!B3:B50,A3,'2026 Tracker'!F3:F50)</f>
        <v>370</v>
      </c>
      <c r="E3" s="67" t="n">
        <f aca="false">D3-C3</f>
        <v>130</v>
      </c>
      <c r="F3" s="68" t="n">
        <f aca="false">IFERROR(COUNTIFS('2026 Tracker'!B3:B50,A3,'2026 Tracker'!G3:G50,"Win")/COUNTIFS('2026 Tracker'!B3:B50,A3,'2026 Tracker'!G3:G50,"&lt;&gt;"),"-")</f>
        <v>0</v>
      </c>
    </row>
    <row r="4" customFormat="false" ht="21.75" hidden="false" customHeight="true" outlineLevel="0" collapsed="false">
      <c r="A4" s="6" t="s">
        <v>9</v>
      </c>
      <c r="B4" s="10" t="n">
        <f aca="false">COUNTIF('2026 Tracker'!B3:B50,A4)</f>
        <v>12</v>
      </c>
      <c r="C4" s="69" t="n">
        <f aca="false">SUMIF('2026 Tracker'!B3:B50,A4,'2026 Tracker'!E3:E50)</f>
        <v>200.13</v>
      </c>
      <c r="D4" s="29" t="n">
        <f aca="false">SUMIF('2026 Tracker'!B3:B50,A4,'2026 Tracker'!F3:F50)</f>
        <v>330</v>
      </c>
      <c r="E4" s="70" t="n">
        <f aca="false">D4-C4</f>
        <v>129.87</v>
      </c>
      <c r="F4" s="71" t="n">
        <f aca="false">IFERROR(COUNTIFS('2026 Tracker'!B3:B50,A4,'2026 Tracker'!G3:G50,"Win")/COUNTIFS('2026 Tracker'!B3:B50,A4,'2026 Tracker'!G3:G50,"&lt;&gt;"),"-")</f>
        <v>0</v>
      </c>
    </row>
    <row r="5" customFormat="false" ht="21.75" hidden="false" customHeight="true" outlineLevel="0" collapsed="false">
      <c r="A5" s="20" t="s">
        <v>18</v>
      </c>
      <c r="B5" s="34" t="n">
        <f aca="false">COUNTIF('2026 Tracker'!B3:B50,A5)</f>
        <v>12</v>
      </c>
      <c r="C5" s="72" t="n">
        <f aca="false">SUMIF('2026 Tracker'!B3:B50,A5,'2026 Tracker'!E3:E50)</f>
        <v>187.9</v>
      </c>
      <c r="D5" s="36" t="n">
        <f aca="false">SUMIF('2026 Tracker'!B3:B50,A5,'2026 Tracker'!F3:F50)</f>
        <v>360</v>
      </c>
      <c r="E5" s="73" t="n">
        <f aca="false">D5-C5</f>
        <v>172.1</v>
      </c>
      <c r="F5" s="74" t="n">
        <f aca="false">IFERROR(COUNTIFS('2026 Tracker'!B3:B50,A5,'2026 Tracker'!G3:G50,"Win")/COUNTIFS('2026 Tracker'!B3:B50,A5,'2026 Tracker'!G3:G50,"&lt;&gt;"),"-")</f>
        <v>0</v>
      </c>
    </row>
    <row r="6" customFormat="false" ht="21.75" hidden="false" customHeight="true" outlineLevel="0" collapsed="false">
      <c r="A6" s="15" t="s">
        <v>14</v>
      </c>
      <c r="B6" s="31" t="n">
        <f aca="false">COUNTIF('2026 Tracker'!B3:B50,A6)</f>
        <v>11</v>
      </c>
      <c r="C6" s="75" t="n">
        <f aca="false">SUMIF('2026 Tracker'!B3:B50,A6,'2026 Tracker'!E3:E50)</f>
        <v>212.37</v>
      </c>
      <c r="D6" s="33" t="n">
        <f aca="false">SUMIF('2026 Tracker'!B3:B50,A6,'2026 Tracker'!F3:F50)</f>
        <v>330</v>
      </c>
      <c r="E6" s="76" t="n">
        <f aca="false">D6-C6</f>
        <v>117.63</v>
      </c>
      <c r="F6" s="77" t="n">
        <f aca="false">IFERROR(COUNTIFS('2026 Tracker'!B3:B50,A6,'2026 Tracker'!G3:G50,"Win")/COUNTIFS('2026 Tracker'!B3:B50,A6,'2026 Tracker'!G3:G50,"&lt;&gt;"),"-")</f>
        <v>0</v>
      </c>
    </row>
    <row r="7" customFormat="false" ht="15" hidden="false" customHeight="true" outlineLevel="0" collapsed="false">
      <c r="A7" s="78" t="s">
        <v>132</v>
      </c>
      <c r="B7" s="78"/>
      <c r="C7" s="78"/>
      <c r="D7" s="78"/>
      <c r="E7" s="78"/>
      <c r="F7" s="79" t="n">
        <f aca="false">'2026 Tracker'!I50</f>
        <v>7098.91</v>
      </c>
    </row>
    <row r="9" customFormat="false" ht="18" hidden="false" customHeight="true" outlineLevel="0" collapsed="false">
      <c r="A9" s="80" t="s">
        <v>133</v>
      </c>
      <c r="B9" s="81" t="s">
        <v>134</v>
      </c>
      <c r="C9" s="81"/>
      <c r="D9" s="81"/>
      <c r="E9" s="81"/>
      <c r="F9" s="81"/>
    </row>
    <row r="11" customFormat="false" ht="15" hidden="false" customHeight="true" outlineLevel="0" collapsed="false">
      <c r="A11" s="82" t="s">
        <v>135</v>
      </c>
      <c r="B11" s="82"/>
      <c r="C11" s="82"/>
      <c r="D11" s="82"/>
      <c r="E11" s="82"/>
      <c r="F11" s="83" t="n">
        <v>5138.97</v>
      </c>
    </row>
    <row r="13" customFormat="false" ht="21.75" hidden="false" customHeight="true" outlineLevel="0" collapsed="false">
      <c r="A13" s="84" t="s">
        <v>136</v>
      </c>
      <c r="B13" s="84"/>
      <c r="C13" s="84"/>
      <c r="D13" s="84"/>
      <c r="E13" s="84"/>
      <c r="F13" s="84"/>
    </row>
    <row r="14" customFormat="false" ht="19.5" hidden="false" customHeight="true" outlineLevel="0" collapsed="false">
      <c r="A14" s="85" t="s">
        <v>9</v>
      </c>
      <c r="B14" s="86" t="s">
        <v>137</v>
      </c>
      <c r="C14" s="86"/>
      <c r="D14" s="86"/>
      <c r="E14" s="86"/>
      <c r="F14" s="87" t="n">
        <v>360</v>
      </c>
    </row>
    <row r="15" customFormat="false" ht="19.5" hidden="false" customHeight="true" outlineLevel="0" collapsed="false">
      <c r="A15" s="85" t="s">
        <v>13</v>
      </c>
      <c r="B15" s="86" t="s">
        <v>137</v>
      </c>
      <c r="C15" s="86"/>
      <c r="D15" s="86"/>
      <c r="E15" s="86"/>
      <c r="F15" s="87" t="n">
        <v>360</v>
      </c>
    </row>
    <row r="16" customFormat="false" ht="19.5" hidden="false" customHeight="true" outlineLevel="0" collapsed="false">
      <c r="A16" s="88" t="s">
        <v>14</v>
      </c>
      <c r="B16" s="86" t="s">
        <v>138</v>
      </c>
      <c r="C16" s="86"/>
      <c r="D16" s="86"/>
      <c r="E16" s="86"/>
      <c r="F16" s="87" t="n">
        <v>280</v>
      </c>
    </row>
  </sheetData>
  <mergeCells count="8">
    <mergeCell ref="A1:F1"/>
    <mergeCell ref="A7:E7"/>
    <mergeCell ref="B9:F9"/>
    <mergeCell ref="A11:E11"/>
    <mergeCell ref="A13:F13"/>
    <mergeCell ref="B14:E14"/>
    <mergeCell ref="B15:E15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2026-05-28T23:33:28Z</dcterms:created>
  <dc:creator>openpyxl</dc:creator>
  <dc:description/>
  <dc:language>en-US</dc:language>
  <cp:lastModifiedBy/>
  <dcterms:modified xsi:type="dcterms:W3CDTF">2026-08-06T22:38:31Z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